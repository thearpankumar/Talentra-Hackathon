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Procedure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Validation" sheetId="4" state="visible" r:id="rId4"/>
  </sheets>
  <definedNames>
    <definedName name="_xlnm._FilterDatabase" localSheetId="0" hidden="1">'Plan'!$A$1:$E$17</definedName>
    <definedName name="_xlnm._FilterDatabase" localSheetId="1" hidden="1">'Procedure'!$A$1:$G$15</definedName>
    <definedName name="_xlnm._FilterDatabase" localSheetId="2" hidden="1">'Log'!$A$1:$X$61</definedName>
    <definedName name="_xlnm._FilterDatabase" localSheetId="3" hidden="1">'Validation'!$A$1:$F$64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2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46" customWidth="1" min="3" max="3"/>
    <col width="46" customWidth="1" min="4" max="4"/>
    <col width="90" customWidth="1" min="5" max="5"/>
  </cols>
  <sheetData>
    <row r="1" ht="30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laptop scale (1M profiles)</t>
        </is>
      </c>
      <c r="D1" s="1" t="inlineStr">
        <is>
          <t>production target</t>
        </is>
      </c>
      <c r="E1" s="1" t="inlineStr">
        <is>
          <t>notes / source</t>
        </is>
      </c>
    </row>
    <row r="2">
      <c r="A2" s="2" t="inlineStr">
        <is>
          <t>Targets</t>
        </is>
      </c>
      <c r="B2" s="3" t="inlineStr">
        <is>
          <t>RTO (restore the service from backup after loss of the cluster or logical corruption)</t>
        </is>
      </c>
      <c r="C2" s="3" t="n">
        <v>60</v>
      </c>
      <c r="D2" s="3" t="n">
        <v>30</v>
      </c>
      <c r="E2" s="3" t="inlineStr">
        <is>
          <t>Minutes. Budget for the laptop test: detect + decide 5, prepare empty target cluster 10, RESTORE &lt;= 30, validation 10, cutover 5 = 60. Production: restore of the hot set is parallelised across nodes; target 30 min assumes the production dataset is restored by a cluster at least as large as the source (measure and re-plan; extrapolate with the B74 growth model).</t>
        </is>
      </c>
    </row>
    <row r="3">
      <c r="A3" s="2" t="inlineStr">
        <is>
          <t>Targets</t>
        </is>
      </c>
      <c r="B3" s="3" t="inlineStr">
        <is>
          <t>RPO (maximum acceptable data loss, minutes)</t>
        </is>
      </c>
      <c r="C3" s="3" t="n">
        <v>15</v>
      </c>
      <c r="D3" s="3" t="n">
        <v>5</v>
      </c>
      <c r="E3" s="3" t="inlineStr">
        <is>
          <t>Minutes. RPO of a backup-based recovery = age of the newest completed incremental at the failure instant; with revision_history the restore can target any time up to that point (PITR). Node/zone/region failure is NOT a backup case: the 3-replica cluster survives it with RPO 0 (survival goal ZONE or REGION).</t>
        </is>
      </c>
    </row>
    <row r="4">
      <c r="A4" s="2" t="inlineStr">
        <is>
          <t>Targets</t>
        </is>
      </c>
      <c r="B4" s="3" t="inlineStr">
        <is>
          <t>Backup window</t>
        </is>
      </c>
      <c r="C4" s="3" t="inlineStr">
        <is>
          <t>15-minute incrementals, daily full</t>
        </is>
      </c>
      <c r="D4" s="3" t="inlineStr">
        <is>
          <t>5-minute incrementals, daily full, weekly full copied to a second bucket/account</t>
        </is>
      </c>
      <c r="E4" s="3" t="inlineStr">
        <is>
          <t>CockroachDB schedules: incrementals recur on the cron given in RECURRING, full on FULL BACKUP clause.</t>
        </is>
      </c>
    </row>
    <row r="5">
      <c r="A5" s="2" t="inlineStr">
        <is>
          <t>Targets</t>
        </is>
      </c>
      <c r="B5" s="3" t="inlineStr">
        <is>
          <t>Retention of backups</t>
        </is>
      </c>
      <c r="C5" s="3" t="inlineStr">
        <is>
          <t>7 days incrementals, 4 fulls (laptop: disk permitting)</t>
        </is>
      </c>
      <c r="D5" s="3" t="inlineStr">
        <is>
          <t>35 days PITR window (gc.ttlseconds not required for backup PITR), 13 monthly fulls (legal hold on audit/ledger evidence: 7 years via archive bucket with object lock)</t>
        </is>
      </c>
      <c r="E5" s="3" t="inlineStr">
        <is>
          <t>Align with data_retention_policy; erased subjects reappear in older backups: expire backups within 35 days or maintain an erasure re-apply list after a restore (DSR re-run job).</t>
        </is>
      </c>
    </row>
    <row r="6">
      <c r="A6" s="2" t="inlineStr">
        <is>
          <t>Targets</t>
        </is>
      </c>
      <c r="B6" s="3" t="inlineStr">
        <is>
          <t>Restore test cadence</t>
        </is>
      </c>
      <c r="C6" s="3" t="inlineStr">
        <is>
          <t>Once before Gate 2 (B80), then each schema release</t>
        </is>
      </c>
      <c r="D6" s="3" t="inlineStr">
        <is>
          <t>Monthly full restore drill into the backup cluster; quarterly game-day with cutover rehearsal</t>
        </is>
      </c>
      <c r="E6" s="3" t="inlineStr">
        <is>
          <t>Record every run in sheet Log.</t>
        </is>
      </c>
    </row>
    <row r="7">
      <c r="A7" s="2" t="inlineStr">
        <is>
          <t>Scale</t>
        </is>
      </c>
      <c r="B7" s="3" t="inlineStr">
        <is>
          <t>Dataset (laptop seed)</t>
        </is>
      </c>
      <c r="C7" s="3" t="inlineStr">
        <is>
          <t>1,000,000 candidate profiles, 100,000 job requirements, 5,000,000 applications (docket section 6)</t>
        </is>
      </c>
      <c r="D7" s="3" t="inlineStr">
        <is>
          <t>10M profiles / 1M requirements / 100M applications (extrapolation target, not loaded)</t>
        </is>
      </c>
      <c r="E7" s="3" t="inlineStr">
        <is>
          <t>Physical size is measured at run time and written to the Log (GB). Planning assumption: replication factor 3 means the logical (backed-up) size is about one third of cluster disk use.</t>
        </is>
      </c>
    </row>
    <row r="8">
      <c r="A8" s="2" t="inlineStr">
        <is>
          <t>Method</t>
        </is>
      </c>
      <c r="B8" s="3" t="inlineStr">
        <is>
          <t>Backup type: full</t>
        </is>
      </c>
      <c r="C8" s="3" t="inlineStr">
        <is>
          <t>BACKUP INTO</t>
        </is>
      </c>
      <c r="D8" s="3" t="inlineStr">
        <is>
          <t>same</t>
        </is>
      </c>
      <c r="E8" s="3" t="inlineStr">
        <is>
          <t>Collection layout: each full creates a dated subdirectory under the collection URI; incrementals are appended to the latest full.</t>
        </is>
      </c>
    </row>
    <row r="9">
      <c r="A9" s="2" t="inlineStr">
        <is>
          <t>Method</t>
        </is>
      </c>
      <c r="B9" s="3" t="inlineStr">
        <is>
          <t>Backup type: incremental</t>
        </is>
      </c>
      <c r="C9" s="3" t="inlineStr">
        <is>
          <t>BACKUP INTO LATEST IN</t>
        </is>
      </c>
      <c r="D9" s="3" t="inlineStr">
        <is>
          <t>same</t>
        </is>
      </c>
      <c r="E9" s="3" t="inlineStr">
        <is>
          <t>Chain length bounded by the daily full.</t>
        </is>
      </c>
    </row>
    <row r="10">
      <c r="A10" s="2" t="inlineStr">
        <is>
          <t>Method</t>
        </is>
      </c>
      <c r="B10" s="3" t="inlineStr">
        <is>
          <t>Backup type: point-in-time (PITR)</t>
        </is>
      </c>
      <c r="C10" s="3" t="inlineStr">
        <is>
          <t>WITH revision_history on every full and incremental; RESTORE ... AS OF SYSTEM TIME</t>
        </is>
      </c>
      <c r="D10" s="3" t="inlineStr">
        <is>
          <t>same</t>
        </is>
      </c>
      <c r="E10" s="3" t="inlineStr">
        <is>
          <t>revision_history is on by default for scheduled backups (crdb_capabilities row 19) but the explicit option is kept for clarity.</t>
        </is>
      </c>
    </row>
    <row r="11">
      <c r="A11" s="2" t="inlineStr">
        <is>
          <t>Method</t>
        </is>
      </c>
      <c r="B11" s="3" t="inlineStr">
        <is>
          <t>Backup location</t>
        </is>
      </c>
      <c r="C11" s="3" t="inlineStr">
        <is>
          <t>S3-compatible MinIO container on the host or an S3 bucket (external connection backup_store). nodelocal://1/... for a quick laptop run.</t>
        </is>
      </c>
      <c r="D11" s="3" t="inlineStr">
        <is>
          <t>S3/GCS/Azure bucket in a different account/region than the cluster, object lock on the archive bucket, server-side KMS plus client KMS option</t>
        </is>
      </c>
      <c r="E11" s="3" t="inlineStr">
        <is>
          <t>crdb_capabilities: S3, GCS, Azure are the tested stores; MinIO-style S3 is 'untested' per the docs; nodelocal as a backup target is not described on the fetched pages (unverified): smoke-test it first.</t>
        </is>
      </c>
    </row>
    <row r="12">
      <c r="A12" s="2" t="inlineStr">
        <is>
          <t>Method</t>
        </is>
      </c>
      <c r="B12" s="3" t="inlineStr">
        <is>
          <t>Encryption of backups</t>
        </is>
      </c>
      <c r="C12" s="3" t="inlineStr">
        <is>
          <t>WITH encryption_passphrase (laptop) or KMS</t>
        </is>
      </c>
      <c r="D12" s="3" t="inlineStr">
        <is>
          <t>WITH kms = 'aws:///&lt;key-arn&gt;?AUTH=implicit&amp;REGION=&lt;r&gt;' (or gcp:///...); separate key from the data-at-rest key; key policy allows backup_operator only</t>
        </is>
      </c>
      <c r="E12" s="3" t="inlineStr">
        <is>
          <t>Encrypted backups cannot use WITH EXPERIMENTAL COPY (Preview in v26.2, needs backup.compaction.threshold). Backup encryption options are from the official BACKUP docs, not from crdb_capabilities.md: verify on the pinned image. Application-encrypted columns (AES-GCM) stay ciphertext in every backup.</t>
        </is>
      </c>
    </row>
    <row r="13">
      <c r="A13" s="2" t="inlineStr">
        <is>
          <t>Method</t>
        </is>
      </c>
      <c r="B13" s="3" t="inlineStr">
        <is>
          <t>Licence note</t>
        </is>
      </c>
      <c r="C13" s="3" t="inlineStr">
        <is>
          <t>Multi-node cluster needs a Free/Trial/Enterprise licence (throttle: 5 open txns after 7 days without one). RESTORE no longer requires Enterprise. Whether BACKUP (and encrypted/KMS backups, schedules, revision_history) are licence-gated is UNVERIFIED on the fetched pages.</t>
        </is>
      </c>
      <c r="D13" s="3" t="inlineStr">
        <is>
          <t>Enterprise licence (Enterprise Free if the revenue test is met) applied after cockroach init; full-cluster backups carry the licence key</t>
        </is>
      </c>
      <c r="E13" s="3" t="inlineStr">
        <is>
          <t>Source: crdb_capabilities sections 1 row 19 and 3.</t>
        </is>
      </c>
    </row>
    <row r="14">
      <c r="A14" s="2" t="inlineStr">
        <is>
          <t>Method</t>
        </is>
      </c>
      <c r="B14" s="3" t="inlineStr">
        <is>
          <t>Separate backup cluster</t>
        </is>
      </c>
      <c r="C14" s="3" t="inlineStr">
        <is>
          <t>Second single-node (or 3-node) cluster started from the same image; used as restore target; no application connects to it</t>
        </is>
      </c>
      <c r="D14" s="3" t="inlineStr">
        <is>
          <t>Dedicated cluster in another region/account with its own CA; promoted only by the DR runbook</t>
        </is>
      </c>
      <c r="E14" s="3" t="inlineStr">
        <is>
          <t>infra/backup-db in the repository is the intended target; this sheet only documents the procedure.</t>
        </is>
      </c>
    </row>
    <row r="15">
      <c r="A15" s="2" t="inlineStr">
        <is>
          <t>Method</t>
        </is>
      </c>
      <c r="B15" s="3" t="inlineStr">
        <is>
          <t>What is backed up</t>
        </is>
      </c>
      <c r="C15" s="3" t="inlineStr">
        <is>
          <t>BACKUP INTO (cluster) for the DR drill; BACKUP DATABASE talentra for the dataset test</t>
        </is>
      </c>
      <c r="D15" s="3" t="inlineStr">
        <is>
          <t>cluster backup nightly + database/table-level on demand</t>
        </is>
      </c>
      <c r="E15" s="3" t="inlineStr">
        <is>
          <t>Roles/users live in system tables: restore them with RESTORE SYSTEM USERS (verify) or recreate with the Grants script; table privileges travel with the descriptors.</t>
        </is>
      </c>
    </row>
    <row r="16">
      <c r="A16" s="2" t="inlineStr">
        <is>
          <t>Security</t>
        </is>
      </c>
      <c r="B16" s="3" t="inlineStr">
        <is>
          <t>Who can run it</t>
        </is>
      </c>
      <c r="C16" s="3" t="inlineStr">
        <is>
          <t>backup_operator only (GRANT SYSTEM BACKUP / BACKUP ON DATABASE: verify privilege names)</t>
        </is>
      </c>
      <c r="D16" s="3" t="inlineStr">
        <is>
          <t>same + break-glass restore requires privileged_access_request</t>
        </is>
      </c>
      <c r="E16" s="3" t="inlineStr">
        <is>
          <t>See 13_rbac_matrix.xlsx, role backup_operator, E-26.</t>
        </is>
      </c>
    </row>
    <row r="17">
      <c r="A17" s="2" t="inlineStr">
        <is>
          <t>Security</t>
        </is>
      </c>
      <c r="B17" s="3" t="inlineStr">
        <is>
          <t>Backup content sensitivity</t>
        </is>
      </c>
      <c r="C17" s="3" t="inlineStr">
        <is>
          <t>Contains all ciphertext, hashes and Personal data in clear (columns not app-encrypted)</t>
        </is>
      </c>
      <c r="D17" s="3" t="inlineStr">
        <is>
          <t>same</t>
        </is>
      </c>
      <c r="E17" s="3" t="inlineStr">
        <is>
          <t>Backups are as sensitive as the database: encrypted, access logged, retention-limited, restore only on the backup cluster, no copy to laptops after the drill.</t>
        </is>
      </c>
    </row>
    <row r="19">
      <c r="B19" s="4" t="inlineStr">
        <is>
          <t>Summary of logged runs (reads sheet Log)</t>
        </is>
      </c>
    </row>
    <row r="20">
      <c r="B20" t="inlineStr">
        <is>
          <t>Runs logged</t>
        </is>
      </c>
      <c r="C20">
        <f>COUNTA(Log!A2:A200)</f>
        <v/>
      </c>
    </row>
    <row r="21">
      <c r="B21" t="inlineStr">
        <is>
          <t>Runs with RTO met = Yes</t>
        </is>
      </c>
      <c r="C21">
        <f>COUNTIF(Log!P2:P200,"Yes")</f>
        <v/>
      </c>
    </row>
    <row r="22">
      <c r="B22" t="inlineStr">
        <is>
          <t>Runs with RTO met = No</t>
        </is>
      </c>
      <c r="C22">
        <f>COUNTIF(Log!P2:P200,"No")</f>
        <v/>
      </c>
    </row>
    <row r="23">
      <c r="B23" t="inlineStr">
        <is>
          <t>Longest restore (minutes)</t>
        </is>
      </c>
      <c r="C23">
        <f>IF(COUNT(Log!M2:M200)=0,"",MAX(Log!M2:M200))</f>
        <v/>
      </c>
    </row>
    <row r="24">
      <c r="B24" t="inlineStr">
        <is>
          <t>Longest backup (minutes)</t>
        </is>
      </c>
      <c r="C24">
        <f>IF(COUNT(Log!J2:J200)=0,"",MAX(Log!J2:J200))</f>
        <v/>
      </c>
    </row>
    <row r="25">
      <c r="B25" t="inlineStr">
        <is>
          <t>Worst RPO achieved (minutes)</t>
        </is>
      </c>
      <c r="C25">
        <f>IF(COUNT(Log!S2:S200)=0,"",MAX(Log!S2:S200))</f>
        <v/>
      </c>
    </row>
    <row r="27">
      <c r="B27" t="inlineStr">
        <is>
          <t>Include validation time in RTO? (Yes/No)</t>
        </is>
      </c>
      <c r="C27" t="inlineStr">
        <is>
          <t>Yes</t>
        </is>
      </c>
    </row>
  </sheetData>
  <autoFilter ref="A1:E17"/>
  <dataValidations count="1">
    <dataValidation sqref="C2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5" customWidth="1" min="3" max="3"/>
    <col width="110" customWidth="1" min="4" max="4"/>
    <col width="55" customWidth="1" min="5" max="5"/>
    <col width="16" customWidth="1" min="6" max="6"/>
    <col width="60" customWidth="1" min="7" max="7"/>
  </cols>
  <sheetData>
    <row r="1" ht="30" customHeight="1">
      <c r="A1" s="1" t="inlineStr">
        <is>
          <t>step</t>
        </is>
      </c>
      <c r="B1" s="1" t="inlineStr">
        <is>
          <t>phase</t>
        </is>
      </c>
      <c r="C1" s="1" t="inlineStr">
        <is>
          <t>action</t>
        </is>
      </c>
      <c r="D1" s="1" t="inlineStr">
        <is>
          <t>SQL / command</t>
        </is>
      </c>
      <c r="E1" s="1" t="inlineStr">
        <is>
          <t>expected result</t>
        </is>
      </c>
      <c r="F1" s="1" t="inlineStr">
        <is>
          <t>role</t>
        </is>
      </c>
      <c r="G1" s="1" t="inlineStr">
        <is>
          <t>notes</t>
        </is>
      </c>
    </row>
    <row r="2">
      <c r="A2" s="2" t="inlineStr">
        <is>
          <t>P-01</t>
        </is>
      </c>
      <c r="B2" s="2" t="inlineStr">
        <is>
          <t>Preflight</t>
        </is>
      </c>
      <c r="C2" s="3" t="inlineStr">
        <is>
          <t>Record cluster version, node count, licence state, dataset counts.</t>
        </is>
      </c>
      <c r="D2" s="3" t="inlineStr">
        <is>
          <t>SELECT version();  SHOW CLUSTER SETTING enterprise.license;  SELECT count(*) FROM candidate_profile; SELECT count(*) FROM job_requirement; SELECT count(*) FROM job_application;</t>
        </is>
      </c>
      <c r="E2" s="3" t="inlineStr">
        <is>
          <t>Counts match the seed plan (1M / 100k / 5M). Write them into Log notes.</t>
        </is>
      </c>
      <c r="F2" s="2" t="inlineStr">
        <is>
          <t>operator</t>
        </is>
      </c>
      <c r="G2" s="3" t="inlineStr"/>
    </row>
    <row r="3">
      <c r="A3" s="2" t="inlineStr">
        <is>
          <t>P-02</t>
        </is>
      </c>
      <c r="B3" s="2" t="inlineStr">
        <is>
          <t>Preflight</t>
        </is>
      </c>
      <c r="C3" s="3" t="inlineStr">
        <is>
          <t>Create the storage location (external connection).</t>
        </is>
      </c>
      <c r="D3" s="3" t="inlineStr">
        <is>
          <t>CREATE EXTERNAL CONNECTION backup_store AS 's3://talentra-backups/laptop?AUTH=implicit';   -- MinIO: add &amp;AWS_ENDPOINT=http://minio:9000 (credentials per AUTH mode); quick test: 'nodelocal://1/backups'</t>
        </is>
      </c>
      <c r="E3" s="3" t="inlineStr">
        <is>
          <t>SHOW EXTERNAL CONNECTIONS lists backup_store.</t>
        </is>
      </c>
      <c r="F3" s="2" t="inlineStr">
        <is>
          <t>backup_operator</t>
        </is>
      </c>
      <c r="G3" s="3" t="inlineStr">
        <is>
          <t>Smoke-test write access with a tiny BACKUP of one lookup table.</t>
        </is>
      </c>
    </row>
    <row r="4">
      <c r="A4" s="2" t="inlineStr">
        <is>
          <t>P-03</t>
        </is>
      </c>
      <c r="B4" s="2" t="inlineStr">
        <is>
          <t>Preflight</t>
        </is>
      </c>
      <c r="C4" s="3" t="inlineStr">
        <is>
          <t>Create the schedule (production pattern; for the drill run P-04..P-05 manually).</t>
        </is>
      </c>
      <c r="D4" s="3" t="inlineStr">
        <is>
          <t>CREATE SCHEDULE talentra_backup FOR BACKUP INTO 'external://backup_store' WITH revision_history, encryption_passphrase = '&lt;from vault&gt;' RECURRING '*/15 * * * *' FULL BACKUP '@daily' WITH SCHEDULE OPTIONS first_run = 'now', on_previous_running = 'wait';</t>
        </is>
      </c>
      <c r="E4" s="3" t="inlineStr">
        <is>
          <t>SHOW SCHEDULES shows one full + one incremental schedule.</t>
        </is>
      </c>
      <c r="F4" s="2" t="inlineStr">
        <is>
          <t>backup_operator</t>
        </is>
      </c>
      <c r="G4" s="3" t="inlineStr">
        <is>
          <t>Replace the passphrase by kms = 'aws:///&lt;arn&gt;?AUTH=implicit&amp;REGION=&lt;r&gt;' in production. Exact option names verified against the BACKUP / CREATE SCHEDULE docs on the pinned image.</t>
        </is>
      </c>
    </row>
    <row r="5">
      <c r="A5" s="2" t="inlineStr">
        <is>
          <t>P-04</t>
        </is>
      </c>
      <c r="B5" s="2" t="inlineStr">
        <is>
          <t>Backup</t>
        </is>
      </c>
      <c r="C5" s="3" t="inlineStr">
        <is>
          <t>Take a FULL backup of the seeded database and record start/end.</t>
        </is>
      </c>
      <c r="D5" s="3" t="inlineStr">
        <is>
          <t>BACKUP DATABASE talentra INTO 'external://backup_store' AS OF SYSTEM TIME '-10s' WITH revision_history, encryption_passphrase = '&lt;from vault&gt;';</t>
        </is>
      </c>
      <c r="E5" s="3" t="inlineStr">
        <is>
          <t>Job succeeds; note job id. Backup duration = finished - started.</t>
        </is>
      </c>
      <c r="F5" s="2" t="inlineStr">
        <is>
          <t>backup_operator</t>
        </is>
      </c>
      <c r="G5" s="3" t="inlineStr">
        <is>
          <t>Cluster form for DR: BACKUP INTO 'external://backup_store' AS OF SYSTEM TIME '-10s' WITH revision_history;</t>
        </is>
      </c>
    </row>
    <row r="6">
      <c r="A6" s="2" t="inlineStr">
        <is>
          <t>P-05</t>
        </is>
      </c>
      <c r="B6" s="2" t="inlineStr">
        <is>
          <t>Backup</t>
        </is>
      </c>
      <c r="C6" s="3" t="inlineStr">
        <is>
          <t>Read the timing and size from the job record.</t>
        </is>
      </c>
      <c r="D6" s="3" t="inlineStr">
        <is>
          <t>SELECT job_id, job_type, status, created, started, finished, finished - started AS duration, fraction_completed FROM [SHOW JOBS] WHERE job_type = 'BACKUP' ORDER BY created DESC LIMIT 5;  SHOW BACKUPS IN 'external://backup_store';  SHOW BACKUP FROM LATEST IN 'external://backup_store' WITH encryption_passphrase = '&lt;from vault&gt;';</t>
        </is>
      </c>
      <c r="E6" s="3" t="inlineStr">
        <is>
          <t>Fill Log: backup start/end, size (GB) from SHOW BACKUP (size_bytes).</t>
        </is>
      </c>
      <c r="F6" s="2" t="inlineStr">
        <is>
          <t>operator</t>
        </is>
      </c>
      <c r="G6" s="3" t="inlineStr"/>
    </row>
    <row r="7">
      <c r="A7" s="2" t="inlineStr">
        <is>
          <t>P-06</t>
        </is>
      </c>
      <c r="B7" s="2" t="inlineStr">
        <is>
          <t>Backup</t>
        </is>
      </c>
      <c r="C7" s="3" t="inlineStr">
        <is>
          <t>Generate change traffic (insert 10k applications, 5k ledger rows) then take an INCREMENTAL backup; remember the wall-clock time T_fail (simulated failure instant).</t>
        </is>
      </c>
      <c r="D7" s="3" t="inlineStr">
        <is>
          <t>BACKUP DATABASE talentra INTO LATEST IN 'external://backup_store' AS OF SYSTEM TIME '-10s' WITH revision_history, encryption_passphrase = '&lt;from vault&gt;';</t>
        </is>
      </c>
      <c r="E7" s="3" t="inlineStr">
        <is>
          <t>Incremental finishes quickly; record end time; continue writing for a few minutes, then note T_fail = now().</t>
        </is>
      </c>
      <c r="F7" s="2" t="inlineStr">
        <is>
          <t>backup_operator</t>
        </is>
      </c>
      <c r="G7" s="3" t="inlineStr">
        <is>
          <t>RPO achieved = T_fail - (AS OF time of the newest backup).</t>
        </is>
      </c>
    </row>
    <row r="8">
      <c r="A8" s="2" t="inlineStr">
        <is>
          <t>P-07</t>
        </is>
      </c>
      <c r="B8" s="2" t="inlineStr">
        <is>
          <t>Restore</t>
        </is>
      </c>
      <c r="C8" s="3" t="inlineStr">
        <is>
          <t>Prepare the target (separate backup cluster): empty cluster, same major version, same licence; connect as admin.</t>
        </is>
      </c>
      <c r="D8" s="3" t="inlineStr">
        <is>
          <t>SELECT version();  SHOW DATABASES;  -- talentra must not exist (or use RESTORE ... WITH new_db_name = 'talentra_restore')</t>
        </is>
      </c>
      <c r="E8" s="3" t="inlineStr">
        <is>
          <t>Target is empty.</t>
        </is>
      </c>
      <c r="F8" s="2" t="inlineStr">
        <is>
          <t>backup_operator</t>
        </is>
      </c>
      <c r="G8" s="3" t="inlineStr">
        <is>
          <t>Never restore into the production cluster for a drill.</t>
        </is>
      </c>
    </row>
    <row r="9">
      <c r="A9" s="2" t="inlineStr">
        <is>
          <t>P-08</t>
        </is>
      </c>
      <c r="B9" s="2" t="inlineStr">
        <is>
          <t>Restore</t>
        </is>
      </c>
      <c r="C9" s="3" t="inlineStr">
        <is>
          <t>RESTORE the database; record start/end.</t>
        </is>
      </c>
      <c r="D9" s="3" t="inlineStr">
        <is>
          <t>RESTORE DATABASE talentra FROM LATEST IN 'external://backup_store' WITH encryption_passphrase = '&lt;from vault&gt;';   -- PITR: ... FROM LATEST IN '...' AS OF SYSTEM TIME '&lt;timestamp inside revision history&gt;';</t>
        </is>
      </c>
      <c r="E9" s="3" t="inlineStr">
        <is>
          <t>Job succeeds; restore duration = finished - started. Single table drill: RESTORE TABLE talentra.public.wallet FROM LATEST IN '...' WITH into_db = 'talentra_restore';</t>
        </is>
      </c>
      <c r="F9" s="2" t="inlineStr">
        <is>
          <t>backup_operator</t>
        </is>
      </c>
      <c r="G9" s="3" t="inlineStr">
        <is>
          <t>RESTORE no longer requires an Enterprise licence (crdb_capabilities).</t>
        </is>
      </c>
    </row>
    <row r="10">
      <c r="A10" s="2" t="inlineStr">
        <is>
          <t>P-09</t>
        </is>
      </c>
      <c r="B10" s="2" t="inlineStr">
        <is>
          <t>Restore</t>
        </is>
      </c>
      <c r="C10" s="3" t="inlineStr">
        <is>
          <t>Read restore timing.</t>
        </is>
      </c>
      <c r="D10" s="3" t="inlineStr">
        <is>
          <t>SELECT job_id, job_type, status, created, started, finished, finished - started AS duration FROM [SHOW JOBS] WHERE job_type = 'RESTORE' ORDER BY created DESC LIMIT 5;</t>
        </is>
      </c>
      <c r="E10" s="3" t="inlineStr">
        <is>
          <t>Fill Log: restore start/end, duration.</t>
        </is>
      </c>
      <c r="F10" s="2" t="inlineStr">
        <is>
          <t>operator</t>
        </is>
      </c>
      <c r="G10" s="3" t="inlineStr"/>
    </row>
    <row r="11">
      <c r="A11" s="2" t="inlineStr">
        <is>
          <t>P-10</t>
        </is>
      </c>
      <c r="B11" s="2" t="inlineStr">
        <is>
          <t>Restore</t>
        </is>
      </c>
      <c r="C11" s="3" t="inlineStr">
        <is>
          <t>Recreate roles and grants (login secrets are not part of table backups).</t>
        </is>
      </c>
      <c r="D11" s="3" t="inlineStr">
        <is>
          <t>RESTORE SYSTEM USERS FROM LATEST IN 'external://backup_store' WITH encryption_passphrase = '&lt;from vault&gt;';   -- verify availability; otherwise run the Grants script of 13_rbac_matrix.xlsx (GR-01..GR-05)</t>
        </is>
      </c>
      <c r="E11" s="3" t="inlineStr">
        <is>
          <t>SHOW ROLES lists the same roles as the source; SHOW GRANTS matches (AT-45).</t>
        </is>
      </c>
      <c r="F11" s="2" t="inlineStr">
        <is>
          <t>backup_operator</t>
        </is>
      </c>
      <c r="G11" s="3" t="inlineStr">
        <is>
          <t>Do not restore production service passwords/certificates to the drill cluster; issue new certificates.</t>
        </is>
      </c>
    </row>
    <row r="12">
      <c r="A12" s="2" t="inlineStr">
        <is>
          <t>P-11</t>
        </is>
      </c>
      <c r="B12" s="2" t="inlineStr">
        <is>
          <t>Validate</t>
        </is>
      </c>
      <c r="C12" s="3" t="inlineStr">
        <is>
          <t>Run every check of sheet Validation against source (AS OF SYSTEM TIME = backup time) and restored cluster; compare output.</t>
        </is>
      </c>
      <c r="D12" s="3" t="inlineStr">
        <is>
          <t>See sheet Validation (V-01..).</t>
        </is>
      </c>
      <c r="E12" s="3" t="inlineStr">
        <is>
          <t>All checks equal; hash-chain verifiers pass.</t>
        </is>
      </c>
      <c r="F12" s="2" t="inlineStr">
        <is>
          <t>operator</t>
        </is>
      </c>
      <c r="G12" s="3" t="inlineStr">
        <is>
          <t>Record result in Log: Pass / Pass with notes / Fail.</t>
        </is>
      </c>
    </row>
    <row r="13">
      <c r="A13" s="2" t="inlineStr">
        <is>
          <t>P-12</t>
        </is>
      </c>
      <c r="B13" s="2" t="inlineStr">
        <is>
          <t>Validate</t>
        </is>
      </c>
      <c r="C13" s="3" t="inlineStr">
        <is>
          <t>Application smoke test on the restored cluster: login, search, apply, wallet debit with the standard test accounts.</t>
        </is>
      </c>
      <c r="D13" s="3" t="inlineStr">
        <is>
          <t>Run the B65 query set subset (3 queries) and one write transaction in a rolled-back txn.</t>
        </is>
      </c>
      <c r="E13" s="3" t="inlineStr">
        <is>
          <t>Queries return expected counts; writes succeed.</t>
        </is>
      </c>
      <c r="F13" s="2" t="inlineStr">
        <is>
          <t>operator</t>
        </is>
      </c>
      <c r="G13" s="3" t="inlineStr">
        <is>
          <t>Counts toward RTO only if the target was ready (P-07).</t>
        </is>
      </c>
    </row>
    <row r="14">
      <c r="A14" s="2" t="inlineStr">
        <is>
          <t>P-13</t>
        </is>
      </c>
      <c r="B14" s="2" t="inlineStr">
        <is>
          <t>Record</t>
        </is>
      </c>
      <c r="C14" s="3" t="inlineStr">
        <is>
          <t>Compute RTO met and RPO achieved (formulas in Log) and write the run in the Log; attach job ids and the Validation output.</t>
        </is>
      </c>
      <c r="D14" s="3" t="inlineStr">
        <is>
          <t>n/a</t>
        </is>
      </c>
      <c r="E14" s="3" t="inlineStr">
        <is>
          <t>RTO met = Yes when restore duration (+ validation duration when 'include validation' is ticked in Plan) &lt;= RTO target.</t>
        </is>
      </c>
      <c r="F14" s="2" t="inlineStr">
        <is>
          <t>operator</t>
        </is>
      </c>
      <c r="G14" s="3" t="inlineStr"/>
    </row>
    <row r="15">
      <c r="A15" s="2" t="inlineStr">
        <is>
          <t>P-14</t>
        </is>
      </c>
      <c r="B15" s="2" t="inlineStr">
        <is>
          <t>Clean up</t>
        </is>
      </c>
      <c r="C15" s="3" t="inlineStr">
        <is>
          <t>Drop the restored database or destroy the drill cluster; revoke the temporary credentials; keep backups per retention.</t>
        </is>
      </c>
      <c r="D15" s="3" t="inlineStr">
        <is>
          <t>DROP DATABASE talentra CASCADE;  -- drill cluster only</t>
        </is>
      </c>
      <c r="E15" s="3" t="inlineStr">
        <is>
          <t>Target cluster empty; no drill data copied elsewhere.</t>
        </is>
      </c>
      <c r="F15" s="2" t="inlineStr">
        <is>
          <t>backup_operator</t>
        </is>
      </c>
      <c r="G15" s="3" t="inlineStr"/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6" customWidth="1" min="5" max="5"/>
    <col width="18" customWidth="1" min="6" max="6"/>
    <col width="18" customWidth="1" min="7" max="7"/>
    <col width="18" customWidth="1" min="8" max="8"/>
    <col width="11" customWidth="1" min="9" max="9"/>
    <col width="12" customWidth="1" min="10" max="10"/>
    <col width="18" customWidth="1" min="11" max="11"/>
    <col width="18" customWidth="1" min="12" max="12"/>
    <col width="12" customWidth="1" min="13" max="13"/>
    <col width="12" customWidth="1" min="14" max="14"/>
    <col width="11" customWidth="1" min="15" max="15"/>
    <col width="9" customWidth="1" min="16" max="16"/>
    <col width="18" customWidth="1" min="17" max="17"/>
    <col width="18" customWidth="1" min="18" max="18"/>
    <col width="11" customWidth="1" min="19" max="19"/>
    <col width="11" customWidth="1" min="20" max="20"/>
    <col width="9" customWidth="1" min="21" max="21"/>
    <col width="16" customWidth="1" min="22" max="22"/>
    <col width="16" customWidth="1" min="23" max="23"/>
    <col width="60" customWidth="1" min="24" max="24"/>
  </cols>
  <sheetData>
    <row r="1" ht="30" customHeight="1">
      <c r="A1" s="1" t="inlineStr">
        <is>
          <t>run_id</t>
        </is>
      </c>
      <c r="B1" s="1" t="inlineStr">
        <is>
          <t>date</t>
        </is>
      </c>
      <c r="C1" s="1" t="inlineStr">
        <is>
          <t>environment</t>
        </is>
      </c>
      <c r="D1" s="1" t="inlineStr">
        <is>
          <t>dataset rows (total)</t>
        </is>
      </c>
      <c r="E1" s="1" t="inlineStr">
        <is>
          <t>dataset size GB (logical, from SHOW BACKUP)</t>
        </is>
      </c>
      <c r="F1" s="1" t="inlineStr">
        <is>
          <t>backup type</t>
        </is>
      </c>
      <c r="G1" s="1" t="inlineStr">
        <is>
          <t>backup start</t>
        </is>
      </c>
      <c r="H1" s="1" t="inlineStr">
        <is>
          <t>backup end</t>
        </is>
      </c>
      <c r="I1" s="1" t="inlineStr">
        <is>
          <t>backup size GB</t>
        </is>
      </c>
      <c r="J1" s="1" t="inlineStr">
        <is>
          <t>backup duration (min)</t>
        </is>
      </c>
      <c r="K1" s="1" t="inlineStr">
        <is>
          <t>restore start</t>
        </is>
      </c>
      <c r="L1" s="1" t="inlineStr">
        <is>
          <t>restore end</t>
        </is>
      </c>
      <c r="M1" s="1" t="inlineStr">
        <is>
          <t>restore duration (min)</t>
        </is>
      </c>
      <c r="N1" s="1" t="inlineStr">
        <is>
          <t>validation duration (min)</t>
        </is>
      </c>
      <c r="O1" s="1" t="inlineStr">
        <is>
          <t>RTO target (min)</t>
        </is>
      </c>
      <c r="P1" s="1" t="inlineStr">
        <is>
          <t>RTO met</t>
        </is>
      </c>
      <c r="Q1" s="1" t="inlineStr">
        <is>
          <t>simulated failure time</t>
        </is>
      </c>
      <c r="R1" s="1" t="inlineStr">
        <is>
          <t>restored-to (AS OF) time</t>
        </is>
      </c>
      <c r="S1" s="1" t="inlineStr">
        <is>
          <t>RPO achieved (min)</t>
        </is>
      </c>
      <c r="T1" s="1" t="inlineStr">
        <is>
          <t>RPO target (min)</t>
        </is>
      </c>
      <c r="U1" s="1" t="inlineStr">
        <is>
          <t>RPO met</t>
        </is>
      </c>
      <c r="V1" s="1" t="inlineStr">
        <is>
          <t>validation result</t>
        </is>
      </c>
      <c r="W1" s="1" t="inlineStr">
        <is>
          <t>operator</t>
        </is>
      </c>
      <c r="X1" s="1" t="inlineStr">
        <is>
          <t>notes</t>
        </is>
      </c>
    </row>
    <row r="2">
      <c r="A2" s="2" t="n"/>
      <c r="B2" s="5" t="n"/>
      <c r="C2" s="2" t="n"/>
      <c r="D2" s="6" t="n"/>
      <c r="E2" s="7" t="n"/>
      <c r="F2" s="2" t="n"/>
      <c r="G2" s="8" t="n"/>
      <c r="H2" s="8" t="n"/>
      <c r="I2" s="7" t="n"/>
      <c r="J2" s="9">
        <f>IF(AND(ISNUMBER(G2),ISNUMBER(H2)),ROUND((H2-G2)*1440,2),"")</f>
        <v/>
      </c>
      <c r="K2" s="8" t="n"/>
      <c r="L2" s="8" t="n"/>
      <c r="M2" s="9">
        <f>IF(AND(ISNUMBER(K2),ISNUMBER(L2)),ROUND((L2-K2)*1440,2),"")</f>
        <v/>
      </c>
      <c r="N2" s="7" t="n"/>
      <c r="O2" s="9">
        <f>IF(A2="","",Plan!$C$2)</f>
        <v/>
      </c>
      <c r="P2" s="10">
        <f>IF(OR(M2="",O2=""),"",IF(M2+IF(Plan!$C$27="Yes",N2,0)&lt;=O2,"Yes","No"))</f>
        <v/>
      </c>
      <c r="Q2" s="8" t="n"/>
      <c r="R2" s="8" t="n"/>
      <c r="S2" s="9">
        <f>IF(AND(ISNUMBER(Q2),ISNUMBER(R2)),ROUND((Q2-R2)*1440,2),"")</f>
        <v/>
      </c>
      <c r="T2" s="9">
        <f>IF(A2="","",Plan!$C$3)</f>
        <v/>
      </c>
      <c r="U2" s="10">
        <f>IF(OR(S2="",T2=""),"",IF(S2&lt;=T2,"Yes","No"))</f>
        <v/>
      </c>
      <c r="V2" s="2" t="n"/>
      <c r="W2" s="2" t="n"/>
      <c r="X2" s="3" t="n"/>
    </row>
    <row r="3">
      <c r="A3" s="2" t="n"/>
      <c r="B3" s="5" t="n"/>
      <c r="C3" s="2" t="n"/>
      <c r="D3" s="6" t="n"/>
      <c r="E3" s="7" t="n"/>
      <c r="F3" s="2" t="n"/>
      <c r="G3" s="8" t="n"/>
      <c r="H3" s="8" t="n"/>
      <c r="I3" s="7" t="n"/>
      <c r="J3" s="9">
        <f>IF(AND(ISNUMBER(G3),ISNUMBER(H3)),ROUND((H3-G3)*1440,2),"")</f>
        <v/>
      </c>
      <c r="K3" s="8" t="n"/>
      <c r="L3" s="8" t="n"/>
      <c r="M3" s="9">
        <f>IF(AND(ISNUMBER(K3),ISNUMBER(L3)),ROUND((L3-K3)*1440,2),"")</f>
        <v/>
      </c>
      <c r="N3" s="7" t="n"/>
      <c r="O3" s="9">
        <f>IF(A3="","",Plan!$C$2)</f>
        <v/>
      </c>
      <c r="P3" s="10">
        <f>IF(OR(M3="",O3=""),"",IF(M3+IF(Plan!$C$27="Yes",N3,0)&lt;=O3,"Yes","No"))</f>
        <v/>
      </c>
      <c r="Q3" s="8" t="n"/>
      <c r="R3" s="8" t="n"/>
      <c r="S3" s="9">
        <f>IF(AND(ISNUMBER(Q3),ISNUMBER(R3)),ROUND((Q3-R3)*1440,2),"")</f>
        <v/>
      </c>
      <c r="T3" s="9">
        <f>IF(A3="","",Plan!$C$3)</f>
        <v/>
      </c>
      <c r="U3" s="10">
        <f>IF(OR(S3="",T3=""),"",IF(S3&lt;=T3,"Yes","No"))</f>
        <v/>
      </c>
      <c r="V3" s="2" t="n"/>
      <c r="W3" s="2" t="n"/>
      <c r="X3" s="3" t="n"/>
    </row>
    <row r="4">
      <c r="A4" s="2" t="n"/>
      <c r="B4" s="5" t="n"/>
      <c r="C4" s="2" t="n"/>
      <c r="D4" s="6" t="n"/>
      <c r="E4" s="7" t="n"/>
      <c r="F4" s="2" t="n"/>
      <c r="G4" s="8" t="n"/>
      <c r="H4" s="8" t="n"/>
      <c r="I4" s="7" t="n"/>
      <c r="J4" s="9">
        <f>IF(AND(ISNUMBER(G4),ISNUMBER(H4)),ROUND((H4-G4)*1440,2),"")</f>
        <v/>
      </c>
      <c r="K4" s="8" t="n"/>
      <c r="L4" s="8" t="n"/>
      <c r="M4" s="9">
        <f>IF(AND(ISNUMBER(K4),ISNUMBER(L4)),ROUND((L4-K4)*1440,2),"")</f>
        <v/>
      </c>
      <c r="N4" s="7" t="n"/>
      <c r="O4" s="9">
        <f>IF(A4="","",Plan!$C$2)</f>
        <v/>
      </c>
      <c r="P4" s="10">
        <f>IF(OR(M4="",O4=""),"",IF(M4+IF(Plan!$C$27="Yes",N4,0)&lt;=O4,"Yes","No"))</f>
        <v/>
      </c>
      <c r="Q4" s="8" t="n"/>
      <c r="R4" s="8" t="n"/>
      <c r="S4" s="9">
        <f>IF(AND(ISNUMBER(Q4),ISNUMBER(R4)),ROUND((Q4-R4)*1440,2),"")</f>
        <v/>
      </c>
      <c r="T4" s="9">
        <f>IF(A4="","",Plan!$C$3)</f>
        <v/>
      </c>
      <c r="U4" s="10">
        <f>IF(OR(S4="",T4=""),"",IF(S4&lt;=T4,"Yes","No"))</f>
        <v/>
      </c>
      <c r="V4" s="2" t="n"/>
      <c r="W4" s="2" t="n"/>
      <c r="X4" s="3" t="n"/>
    </row>
    <row r="5">
      <c r="A5" s="2" t="n"/>
      <c r="B5" s="5" t="n"/>
      <c r="C5" s="2" t="n"/>
      <c r="D5" s="6" t="n"/>
      <c r="E5" s="7" t="n"/>
      <c r="F5" s="2" t="n"/>
      <c r="G5" s="8" t="n"/>
      <c r="H5" s="8" t="n"/>
      <c r="I5" s="7" t="n"/>
      <c r="J5" s="9">
        <f>IF(AND(ISNUMBER(G5),ISNUMBER(H5)),ROUND((H5-G5)*1440,2),"")</f>
        <v/>
      </c>
      <c r="K5" s="8" t="n"/>
      <c r="L5" s="8" t="n"/>
      <c r="M5" s="9">
        <f>IF(AND(ISNUMBER(K5),ISNUMBER(L5)),ROUND((L5-K5)*1440,2),"")</f>
        <v/>
      </c>
      <c r="N5" s="7" t="n"/>
      <c r="O5" s="9">
        <f>IF(A5="","",Plan!$C$2)</f>
        <v/>
      </c>
      <c r="P5" s="10">
        <f>IF(OR(M5="",O5=""),"",IF(M5+IF(Plan!$C$27="Yes",N5,0)&lt;=O5,"Yes","No"))</f>
        <v/>
      </c>
      <c r="Q5" s="8" t="n"/>
      <c r="R5" s="8" t="n"/>
      <c r="S5" s="9">
        <f>IF(AND(ISNUMBER(Q5),ISNUMBER(R5)),ROUND((Q5-R5)*1440,2),"")</f>
        <v/>
      </c>
      <c r="T5" s="9">
        <f>IF(A5="","",Plan!$C$3)</f>
        <v/>
      </c>
      <c r="U5" s="10">
        <f>IF(OR(S5="",T5=""),"",IF(S5&lt;=T5,"Yes","No"))</f>
        <v/>
      </c>
      <c r="V5" s="2" t="n"/>
      <c r="W5" s="2" t="n"/>
      <c r="X5" s="3" t="n"/>
    </row>
    <row r="6">
      <c r="A6" s="2" t="n"/>
      <c r="B6" s="5" t="n"/>
      <c r="C6" s="2" t="n"/>
      <c r="D6" s="6" t="n"/>
      <c r="E6" s="7" t="n"/>
      <c r="F6" s="2" t="n"/>
      <c r="G6" s="8" t="n"/>
      <c r="H6" s="8" t="n"/>
      <c r="I6" s="7" t="n"/>
      <c r="J6" s="9">
        <f>IF(AND(ISNUMBER(G6),ISNUMBER(H6)),ROUND((H6-G6)*1440,2),"")</f>
        <v/>
      </c>
      <c r="K6" s="8" t="n"/>
      <c r="L6" s="8" t="n"/>
      <c r="M6" s="9">
        <f>IF(AND(ISNUMBER(K6),ISNUMBER(L6)),ROUND((L6-K6)*1440,2),"")</f>
        <v/>
      </c>
      <c r="N6" s="7" t="n"/>
      <c r="O6" s="9">
        <f>IF(A6="","",Plan!$C$2)</f>
        <v/>
      </c>
      <c r="P6" s="10">
        <f>IF(OR(M6="",O6=""),"",IF(M6+IF(Plan!$C$27="Yes",N6,0)&lt;=O6,"Yes","No"))</f>
        <v/>
      </c>
      <c r="Q6" s="8" t="n"/>
      <c r="R6" s="8" t="n"/>
      <c r="S6" s="9">
        <f>IF(AND(ISNUMBER(Q6),ISNUMBER(R6)),ROUND((Q6-R6)*1440,2),"")</f>
        <v/>
      </c>
      <c r="T6" s="9">
        <f>IF(A6="","",Plan!$C$3)</f>
        <v/>
      </c>
      <c r="U6" s="10">
        <f>IF(OR(S6="",T6=""),"",IF(S6&lt;=T6,"Yes","No"))</f>
        <v/>
      </c>
      <c r="V6" s="2" t="n"/>
      <c r="W6" s="2" t="n"/>
      <c r="X6" s="3" t="n"/>
    </row>
    <row r="7">
      <c r="A7" s="2" t="n"/>
      <c r="B7" s="5" t="n"/>
      <c r="C7" s="2" t="n"/>
      <c r="D7" s="6" t="n"/>
      <c r="E7" s="7" t="n"/>
      <c r="F7" s="2" t="n"/>
      <c r="G7" s="8" t="n"/>
      <c r="H7" s="8" t="n"/>
      <c r="I7" s="7" t="n"/>
      <c r="J7" s="9">
        <f>IF(AND(ISNUMBER(G7),ISNUMBER(H7)),ROUND((H7-G7)*1440,2),"")</f>
        <v/>
      </c>
      <c r="K7" s="8" t="n"/>
      <c r="L7" s="8" t="n"/>
      <c r="M7" s="9">
        <f>IF(AND(ISNUMBER(K7),ISNUMBER(L7)),ROUND((L7-K7)*1440,2),"")</f>
        <v/>
      </c>
      <c r="N7" s="7" t="n"/>
      <c r="O7" s="9">
        <f>IF(A7="","",Plan!$C$2)</f>
        <v/>
      </c>
      <c r="P7" s="10">
        <f>IF(OR(M7="",O7=""),"",IF(M7+IF(Plan!$C$27="Yes",N7,0)&lt;=O7,"Yes","No"))</f>
        <v/>
      </c>
      <c r="Q7" s="8" t="n"/>
      <c r="R7" s="8" t="n"/>
      <c r="S7" s="9">
        <f>IF(AND(ISNUMBER(Q7),ISNUMBER(R7)),ROUND((Q7-R7)*1440,2),"")</f>
        <v/>
      </c>
      <c r="T7" s="9">
        <f>IF(A7="","",Plan!$C$3)</f>
        <v/>
      </c>
      <c r="U7" s="10">
        <f>IF(OR(S7="",T7=""),"",IF(S7&lt;=T7,"Yes","No"))</f>
        <v/>
      </c>
      <c r="V7" s="2" t="n"/>
      <c r="W7" s="2" t="n"/>
      <c r="X7" s="3" t="n"/>
    </row>
    <row r="8">
      <c r="A8" s="2" t="n"/>
      <c r="B8" s="5" t="n"/>
      <c r="C8" s="2" t="n"/>
      <c r="D8" s="6" t="n"/>
      <c r="E8" s="7" t="n"/>
      <c r="F8" s="2" t="n"/>
      <c r="G8" s="8" t="n"/>
      <c r="H8" s="8" t="n"/>
      <c r="I8" s="7" t="n"/>
      <c r="J8" s="9">
        <f>IF(AND(ISNUMBER(G8),ISNUMBER(H8)),ROUND((H8-G8)*1440,2),"")</f>
        <v/>
      </c>
      <c r="K8" s="8" t="n"/>
      <c r="L8" s="8" t="n"/>
      <c r="M8" s="9">
        <f>IF(AND(ISNUMBER(K8),ISNUMBER(L8)),ROUND((L8-K8)*1440,2),"")</f>
        <v/>
      </c>
      <c r="N8" s="7" t="n"/>
      <c r="O8" s="9">
        <f>IF(A8="","",Plan!$C$2)</f>
        <v/>
      </c>
      <c r="P8" s="10">
        <f>IF(OR(M8="",O8=""),"",IF(M8+IF(Plan!$C$27="Yes",N8,0)&lt;=O8,"Yes","No"))</f>
        <v/>
      </c>
      <c r="Q8" s="8" t="n"/>
      <c r="R8" s="8" t="n"/>
      <c r="S8" s="9">
        <f>IF(AND(ISNUMBER(Q8),ISNUMBER(R8)),ROUND((Q8-R8)*1440,2),"")</f>
        <v/>
      </c>
      <c r="T8" s="9">
        <f>IF(A8="","",Plan!$C$3)</f>
        <v/>
      </c>
      <c r="U8" s="10">
        <f>IF(OR(S8="",T8=""),"",IF(S8&lt;=T8,"Yes","No"))</f>
        <v/>
      </c>
      <c r="V8" s="2" t="n"/>
      <c r="W8" s="2" t="n"/>
      <c r="X8" s="3" t="n"/>
    </row>
    <row r="9">
      <c r="A9" s="2" t="n"/>
      <c r="B9" s="5" t="n"/>
      <c r="C9" s="2" t="n"/>
      <c r="D9" s="6" t="n"/>
      <c r="E9" s="7" t="n"/>
      <c r="F9" s="2" t="n"/>
      <c r="G9" s="8" t="n"/>
      <c r="H9" s="8" t="n"/>
      <c r="I9" s="7" t="n"/>
      <c r="J9" s="9">
        <f>IF(AND(ISNUMBER(G9),ISNUMBER(H9)),ROUND((H9-G9)*1440,2),"")</f>
        <v/>
      </c>
      <c r="K9" s="8" t="n"/>
      <c r="L9" s="8" t="n"/>
      <c r="M9" s="9">
        <f>IF(AND(ISNUMBER(K9),ISNUMBER(L9)),ROUND((L9-K9)*1440,2),"")</f>
        <v/>
      </c>
      <c r="N9" s="7" t="n"/>
      <c r="O9" s="9">
        <f>IF(A9="","",Plan!$C$2)</f>
        <v/>
      </c>
      <c r="P9" s="10">
        <f>IF(OR(M9="",O9=""),"",IF(M9+IF(Plan!$C$27="Yes",N9,0)&lt;=O9,"Yes","No"))</f>
        <v/>
      </c>
      <c r="Q9" s="8" t="n"/>
      <c r="R9" s="8" t="n"/>
      <c r="S9" s="9">
        <f>IF(AND(ISNUMBER(Q9),ISNUMBER(R9)),ROUND((Q9-R9)*1440,2),"")</f>
        <v/>
      </c>
      <c r="T9" s="9">
        <f>IF(A9="","",Plan!$C$3)</f>
        <v/>
      </c>
      <c r="U9" s="10">
        <f>IF(OR(S9="",T9=""),"",IF(S9&lt;=T9,"Yes","No"))</f>
        <v/>
      </c>
      <c r="V9" s="2" t="n"/>
      <c r="W9" s="2" t="n"/>
      <c r="X9" s="3" t="n"/>
    </row>
    <row r="10">
      <c r="A10" s="2" t="n"/>
      <c r="B10" s="5" t="n"/>
      <c r="C10" s="2" t="n"/>
      <c r="D10" s="6" t="n"/>
      <c r="E10" s="7" t="n"/>
      <c r="F10" s="2" t="n"/>
      <c r="G10" s="8" t="n"/>
      <c r="H10" s="8" t="n"/>
      <c r="I10" s="7" t="n"/>
      <c r="J10" s="9">
        <f>IF(AND(ISNUMBER(G10),ISNUMBER(H10)),ROUND((H10-G10)*1440,2),"")</f>
        <v/>
      </c>
      <c r="K10" s="8" t="n"/>
      <c r="L10" s="8" t="n"/>
      <c r="M10" s="9">
        <f>IF(AND(ISNUMBER(K10),ISNUMBER(L10)),ROUND((L10-K10)*1440,2),"")</f>
        <v/>
      </c>
      <c r="N10" s="7" t="n"/>
      <c r="O10" s="9">
        <f>IF(A10="","",Plan!$C$2)</f>
        <v/>
      </c>
      <c r="P10" s="10">
        <f>IF(OR(M10="",O10=""),"",IF(M10+IF(Plan!$C$27="Yes",N10,0)&lt;=O10,"Yes","No"))</f>
        <v/>
      </c>
      <c r="Q10" s="8" t="n"/>
      <c r="R10" s="8" t="n"/>
      <c r="S10" s="9">
        <f>IF(AND(ISNUMBER(Q10),ISNUMBER(R10)),ROUND((Q10-R10)*1440,2),"")</f>
        <v/>
      </c>
      <c r="T10" s="9">
        <f>IF(A10="","",Plan!$C$3)</f>
        <v/>
      </c>
      <c r="U10" s="10">
        <f>IF(OR(S10="",T10=""),"",IF(S10&lt;=T10,"Yes","No"))</f>
        <v/>
      </c>
      <c r="V10" s="2" t="n"/>
      <c r="W10" s="2" t="n"/>
      <c r="X10" s="3" t="n"/>
    </row>
    <row r="11">
      <c r="A11" s="2" t="n"/>
      <c r="B11" s="5" t="n"/>
      <c r="C11" s="2" t="n"/>
      <c r="D11" s="6" t="n"/>
      <c r="E11" s="7" t="n"/>
      <c r="F11" s="2" t="n"/>
      <c r="G11" s="8" t="n"/>
      <c r="H11" s="8" t="n"/>
      <c r="I11" s="7" t="n"/>
      <c r="J11" s="9">
        <f>IF(AND(ISNUMBER(G11),ISNUMBER(H11)),ROUND((H11-G11)*1440,2),"")</f>
        <v/>
      </c>
      <c r="K11" s="8" t="n"/>
      <c r="L11" s="8" t="n"/>
      <c r="M11" s="9">
        <f>IF(AND(ISNUMBER(K11),ISNUMBER(L11)),ROUND((L11-K11)*1440,2),"")</f>
        <v/>
      </c>
      <c r="N11" s="7" t="n"/>
      <c r="O11" s="9">
        <f>IF(A11="","",Plan!$C$2)</f>
        <v/>
      </c>
      <c r="P11" s="10">
        <f>IF(OR(M11="",O11=""),"",IF(M11+IF(Plan!$C$27="Yes",N11,0)&lt;=O11,"Yes","No"))</f>
        <v/>
      </c>
      <c r="Q11" s="8" t="n"/>
      <c r="R11" s="8" t="n"/>
      <c r="S11" s="9">
        <f>IF(AND(ISNUMBER(Q11),ISNUMBER(R11)),ROUND((Q11-R11)*1440,2),"")</f>
        <v/>
      </c>
      <c r="T11" s="9">
        <f>IF(A11="","",Plan!$C$3)</f>
        <v/>
      </c>
      <c r="U11" s="10">
        <f>IF(OR(S11="",T11=""),"",IF(S11&lt;=T11,"Yes","No"))</f>
        <v/>
      </c>
      <c r="V11" s="2" t="n"/>
      <c r="W11" s="2" t="n"/>
      <c r="X11" s="3" t="n"/>
    </row>
    <row r="12">
      <c r="A12" s="2" t="n"/>
      <c r="B12" s="5" t="n"/>
      <c r="C12" s="2" t="n"/>
      <c r="D12" s="6" t="n"/>
      <c r="E12" s="7" t="n"/>
      <c r="F12" s="2" t="n"/>
      <c r="G12" s="8" t="n"/>
      <c r="H12" s="8" t="n"/>
      <c r="I12" s="7" t="n"/>
      <c r="J12" s="9">
        <f>IF(AND(ISNUMBER(G12),ISNUMBER(H12)),ROUND((H12-G12)*1440,2),"")</f>
        <v/>
      </c>
      <c r="K12" s="8" t="n"/>
      <c r="L12" s="8" t="n"/>
      <c r="M12" s="9">
        <f>IF(AND(ISNUMBER(K12),ISNUMBER(L12)),ROUND((L12-K12)*1440,2),"")</f>
        <v/>
      </c>
      <c r="N12" s="7" t="n"/>
      <c r="O12" s="9">
        <f>IF(A12="","",Plan!$C$2)</f>
        <v/>
      </c>
      <c r="P12" s="10">
        <f>IF(OR(M12="",O12=""),"",IF(M12+IF(Plan!$C$27="Yes",N12,0)&lt;=O12,"Yes","No"))</f>
        <v/>
      </c>
      <c r="Q12" s="8" t="n"/>
      <c r="R12" s="8" t="n"/>
      <c r="S12" s="9">
        <f>IF(AND(ISNUMBER(Q12),ISNUMBER(R12)),ROUND((Q12-R12)*1440,2),"")</f>
        <v/>
      </c>
      <c r="T12" s="9">
        <f>IF(A12="","",Plan!$C$3)</f>
        <v/>
      </c>
      <c r="U12" s="10">
        <f>IF(OR(S12="",T12=""),"",IF(S12&lt;=T12,"Yes","No"))</f>
        <v/>
      </c>
      <c r="V12" s="2" t="n"/>
      <c r="W12" s="2" t="n"/>
      <c r="X12" s="3" t="n"/>
    </row>
    <row r="13">
      <c r="A13" s="2" t="n"/>
      <c r="B13" s="5" t="n"/>
      <c r="C13" s="2" t="n"/>
      <c r="D13" s="6" t="n"/>
      <c r="E13" s="7" t="n"/>
      <c r="F13" s="2" t="n"/>
      <c r="G13" s="8" t="n"/>
      <c r="H13" s="8" t="n"/>
      <c r="I13" s="7" t="n"/>
      <c r="J13" s="9">
        <f>IF(AND(ISNUMBER(G13),ISNUMBER(H13)),ROUND((H13-G13)*1440,2),"")</f>
        <v/>
      </c>
      <c r="K13" s="8" t="n"/>
      <c r="L13" s="8" t="n"/>
      <c r="M13" s="9">
        <f>IF(AND(ISNUMBER(K13),ISNUMBER(L13)),ROUND((L13-K13)*1440,2),"")</f>
        <v/>
      </c>
      <c r="N13" s="7" t="n"/>
      <c r="O13" s="9">
        <f>IF(A13="","",Plan!$C$2)</f>
        <v/>
      </c>
      <c r="P13" s="10">
        <f>IF(OR(M13="",O13=""),"",IF(M13+IF(Plan!$C$27="Yes",N13,0)&lt;=O13,"Yes","No"))</f>
        <v/>
      </c>
      <c r="Q13" s="8" t="n"/>
      <c r="R13" s="8" t="n"/>
      <c r="S13" s="9">
        <f>IF(AND(ISNUMBER(Q13),ISNUMBER(R13)),ROUND((Q13-R13)*1440,2),"")</f>
        <v/>
      </c>
      <c r="T13" s="9">
        <f>IF(A13="","",Plan!$C$3)</f>
        <v/>
      </c>
      <c r="U13" s="10">
        <f>IF(OR(S13="",T13=""),"",IF(S13&lt;=T13,"Yes","No"))</f>
        <v/>
      </c>
      <c r="V13" s="2" t="n"/>
      <c r="W13" s="2" t="n"/>
      <c r="X13" s="3" t="n"/>
    </row>
    <row r="14">
      <c r="A14" s="2" t="n"/>
      <c r="B14" s="5" t="n"/>
      <c r="C14" s="2" t="n"/>
      <c r="D14" s="6" t="n"/>
      <c r="E14" s="7" t="n"/>
      <c r="F14" s="2" t="n"/>
      <c r="G14" s="8" t="n"/>
      <c r="H14" s="8" t="n"/>
      <c r="I14" s="7" t="n"/>
      <c r="J14" s="9">
        <f>IF(AND(ISNUMBER(G14),ISNUMBER(H14)),ROUND((H14-G14)*1440,2),"")</f>
        <v/>
      </c>
      <c r="K14" s="8" t="n"/>
      <c r="L14" s="8" t="n"/>
      <c r="M14" s="9">
        <f>IF(AND(ISNUMBER(K14),ISNUMBER(L14)),ROUND((L14-K14)*1440,2),"")</f>
        <v/>
      </c>
      <c r="N14" s="7" t="n"/>
      <c r="O14" s="9">
        <f>IF(A14="","",Plan!$C$2)</f>
        <v/>
      </c>
      <c r="P14" s="10">
        <f>IF(OR(M14="",O14=""),"",IF(M14+IF(Plan!$C$27="Yes",N14,0)&lt;=O14,"Yes","No"))</f>
        <v/>
      </c>
      <c r="Q14" s="8" t="n"/>
      <c r="R14" s="8" t="n"/>
      <c r="S14" s="9">
        <f>IF(AND(ISNUMBER(Q14),ISNUMBER(R14)),ROUND((Q14-R14)*1440,2),"")</f>
        <v/>
      </c>
      <c r="T14" s="9">
        <f>IF(A14="","",Plan!$C$3)</f>
        <v/>
      </c>
      <c r="U14" s="10">
        <f>IF(OR(S14="",T14=""),"",IF(S14&lt;=T14,"Yes","No"))</f>
        <v/>
      </c>
      <c r="V14" s="2" t="n"/>
      <c r="W14" s="2" t="n"/>
      <c r="X14" s="3" t="n"/>
    </row>
    <row r="15">
      <c r="A15" s="2" t="n"/>
      <c r="B15" s="5" t="n"/>
      <c r="C15" s="2" t="n"/>
      <c r="D15" s="6" t="n"/>
      <c r="E15" s="7" t="n"/>
      <c r="F15" s="2" t="n"/>
      <c r="G15" s="8" t="n"/>
      <c r="H15" s="8" t="n"/>
      <c r="I15" s="7" t="n"/>
      <c r="J15" s="9">
        <f>IF(AND(ISNUMBER(G15),ISNUMBER(H15)),ROUND((H15-G15)*1440,2),"")</f>
        <v/>
      </c>
      <c r="K15" s="8" t="n"/>
      <c r="L15" s="8" t="n"/>
      <c r="M15" s="9">
        <f>IF(AND(ISNUMBER(K15),ISNUMBER(L15)),ROUND((L15-K15)*1440,2),"")</f>
        <v/>
      </c>
      <c r="N15" s="7" t="n"/>
      <c r="O15" s="9">
        <f>IF(A15="","",Plan!$C$2)</f>
        <v/>
      </c>
      <c r="P15" s="10">
        <f>IF(OR(M15="",O15=""),"",IF(M15+IF(Plan!$C$27="Yes",N15,0)&lt;=O15,"Yes","No"))</f>
        <v/>
      </c>
      <c r="Q15" s="8" t="n"/>
      <c r="R15" s="8" t="n"/>
      <c r="S15" s="9">
        <f>IF(AND(ISNUMBER(Q15),ISNUMBER(R15)),ROUND((Q15-R15)*1440,2),"")</f>
        <v/>
      </c>
      <c r="T15" s="9">
        <f>IF(A15="","",Plan!$C$3)</f>
        <v/>
      </c>
      <c r="U15" s="10">
        <f>IF(OR(S15="",T15=""),"",IF(S15&lt;=T15,"Yes","No"))</f>
        <v/>
      </c>
      <c r="V15" s="2" t="n"/>
      <c r="W15" s="2" t="n"/>
      <c r="X15" s="3" t="n"/>
    </row>
    <row r="16">
      <c r="A16" s="2" t="n"/>
      <c r="B16" s="5" t="n"/>
      <c r="C16" s="2" t="n"/>
      <c r="D16" s="6" t="n"/>
      <c r="E16" s="7" t="n"/>
      <c r="F16" s="2" t="n"/>
      <c r="G16" s="8" t="n"/>
      <c r="H16" s="8" t="n"/>
      <c r="I16" s="7" t="n"/>
      <c r="J16" s="9">
        <f>IF(AND(ISNUMBER(G16),ISNUMBER(H16)),ROUND((H16-G16)*1440,2),"")</f>
        <v/>
      </c>
      <c r="K16" s="8" t="n"/>
      <c r="L16" s="8" t="n"/>
      <c r="M16" s="9">
        <f>IF(AND(ISNUMBER(K16),ISNUMBER(L16)),ROUND((L16-K16)*1440,2),"")</f>
        <v/>
      </c>
      <c r="N16" s="7" t="n"/>
      <c r="O16" s="9">
        <f>IF(A16="","",Plan!$C$2)</f>
        <v/>
      </c>
      <c r="P16" s="10">
        <f>IF(OR(M16="",O16=""),"",IF(M16+IF(Plan!$C$27="Yes",N16,0)&lt;=O16,"Yes","No"))</f>
        <v/>
      </c>
      <c r="Q16" s="8" t="n"/>
      <c r="R16" s="8" t="n"/>
      <c r="S16" s="9">
        <f>IF(AND(ISNUMBER(Q16),ISNUMBER(R16)),ROUND((Q16-R16)*1440,2),"")</f>
        <v/>
      </c>
      <c r="T16" s="9">
        <f>IF(A16="","",Plan!$C$3)</f>
        <v/>
      </c>
      <c r="U16" s="10">
        <f>IF(OR(S16="",T16=""),"",IF(S16&lt;=T16,"Yes","No"))</f>
        <v/>
      </c>
      <c r="V16" s="2" t="n"/>
      <c r="W16" s="2" t="n"/>
      <c r="X16" s="3" t="n"/>
    </row>
    <row r="17">
      <c r="A17" s="2" t="n"/>
      <c r="B17" s="5" t="n"/>
      <c r="C17" s="2" t="n"/>
      <c r="D17" s="6" t="n"/>
      <c r="E17" s="7" t="n"/>
      <c r="F17" s="2" t="n"/>
      <c r="G17" s="8" t="n"/>
      <c r="H17" s="8" t="n"/>
      <c r="I17" s="7" t="n"/>
      <c r="J17" s="9">
        <f>IF(AND(ISNUMBER(G17),ISNUMBER(H17)),ROUND((H17-G17)*1440,2),"")</f>
        <v/>
      </c>
      <c r="K17" s="8" t="n"/>
      <c r="L17" s="8" t="n"/>
      <c r="M17" s="9">
        <f>IF(AND(ISNUMBER(K17),ISNUMBER(L17)),ROUND((L17-K17)*1440,2),"")</f>
        <v/>
      </c>
      <c r="N17" s="7" t="n"/>
      <c r="O17" s="9">
        <f>IF(A17="","",Plan!$C$2)</f>
        <v/>
      </c>
      <c r="P17" s="10">
        <f>IF(OR(M17="",O17=""),"",IF(M17+IF(Plan!$C$27="Yes",N17,0)&lt;=O17,"Yes","No"))</f>
        <v/>
      </c>
      <c r="Q17" s="8" t="n"/>
      <c r="R17" s="8" t="n"/>
      <c r="S17" s="9">
        <f>IF(AND(ISNUMBER(Q17),ISNUMBER(R17)),ROUND((Q17-R17)*1440,2),"")</f>
        <v/>
      </c>
      <c r="T17" s="9">
        <f>IF(A17="","",Plan!$C$3)</f>
        <v/>
      </c>
      <c r="U17" s="10">
        <f>IF(OR(S17="",T17=""),"",IF(S17&lt;=T17,"Yes","No"))</f>
        <v/>
      </c>
      <c r="V17" s="2" t="n"/>
      <c r="W17" s="2" t="n"/>
      <c r="X17" s="3" t="n"/>
    </row>
    <row r="18">
      <c r="A18" s="2" t="n"/>
      <c r="B18" s="5" t="n"/>
      <c r="C18" s="2" t="n"/>
      <c r="D18" s="6" t="n"/>
      <c r="E18" s="7" t="n"/>
      <c r="F18" s="2" t="n"/>
      <c r="G18" s="8" t="n"/>
      <c r="H18" s="8" t="n"/>
      <c r="I18" s="7" t="n"/>
      <c r="J18" s="9">
        <f>IF(AND(ISNUMBER(G18),ISNUMBER(H18)),ROUND((H18-G18)*1440,2),"")</f>
        <v/>
      </c>
      <c r="K18" s="8" t="n"/>
      <c r="L18" s="8" t="n"/>
      <c r="M18" s="9">
        <f>IF(AND(ISNUMBER(K18),ISNUMBER(L18)),ROUND((L18-K18)*1440,2),"")</f>
        <v/>
      </c>
      <c r="N18" s="7" t="n"/>
      <c r="O18" s="9">
        <f>IF(A18="","",Plan!$C$2)</f>
        <v/>
      </c>
      <c r="P18" s="10">
        <f>IF(OR(M18="",O18=""),"",IF(M18+IF(Plan!$C$27="Yes",N18,0)&lt;=O18,"Yes","No"))</f>
        <v/>
      </c>
      <c r="Q18" s="8" t="n"/>
      <c r="R18" s="8" t="n"/>
      <c r="S18" s="9">
        <f>IF(AND(ISNUMBER(Q18),ISNUMBER(R18)),ROUND((Q18-R18)*1440,2),"")</f>
        <v/>
      </c>
      <c r="T18" s="9">
        <f>IF(A18="","",Plan!$C$3)</f>
        <v/>
      </c>
      <c r="U18" s="10">
        <f>IF(OR(S18="",T18=""),"",IF(S18&lt;=T18,"Yes","No"))</f>
        <v/>
      </c>
      <c r="V18" s="2" t="n"/>
      <c r="W18" s="2" t="n"/>
      <c r="X18" s="3" t="n"/>
    </row>
    <row r="19">
      <c r="A19" s="2" t="n"/>
      <c r="B19" s="5" t="n"/>
      <c r="C19" s="2" t="n"/>
      <c r="D19" s="6" t="n"/>
      <c r="E19" s="7" t="n"/>
      <c r="F19" s="2" t="n"/>
      <c r="G19" s="8" t="n"/>
      <c r="H19" s="8" t="n"/>
      <c r="I19" s="7" t="n"/>
      <c r="J19" s="9">
        <f>IF(AND(ISNUMBER(G19),ISNUMBER(H19)),ROUND((H19-G19)*1440,2),"")</f>
        <v/>
      </c>
      <c r="K19" s="8" t="n"/>
      <c r="L19" s="8" t="n"/>
      <c r="M19" s="9">
        <f>IF(AND(ISNUMBER(K19),ISNUMBER(L19)),ROUND((L19-K19)*1440,2),"")</f>
        <v/>
      </c>
      <c r="N19" s="7" t="n"/>
      <c r="O19" s="9">
        <f>IF(A19="","",Plan!$C$2)</f>
        <v/>
      </c>
      <c r="P19" s="10">
        <f>IF(OR(M19="",O19=""),"",IF(M19+IF(Plan!$C$27="Yes",N19,0)&lt;=O19,"Yes","No"))</f>
        <v/>
      </c>
      <c r="Q19" s="8" t="n"/>
      <c r="R19" s="8" t="n"/>
      <c r="S19" s="9">
        <f>IF(AND(ISNUMBER(Q19),ISNUMBER(R19)),ROUND((Q19-R19)*1440,2),"")</f>
        <v/>
      </c>
      <c r="T19" s="9">
        <f>IF(A19="","",Plan!$C$3)</f>
        <v/>
      </c>
      <c r="U19" s="10">
        <f>IF(OR(S19="",T19=""),"",IF(S19&lt;=T19,"Yes","No"))</f>
        <v/>
      </c>
      <c r="V19" s="2" t="n"/>
      <c r="W19" s="2" t="n"/>
      <c r="X19" s="3" t="n"/>
    </row>
    <row r="20">
      <c r="A20" s="2" t="n"/>
      <c r="B20" s="5" t="n"/>
      <c r="C20" s="2" t="n"/>
      <c r="D20" s="6" t="n"/>
      <c r="E20" s="7" t="n"/>
      <c r="F20" s="2" t="n"/>
      <c r="G20" s="8" t="n"/>
      <c r="H20" s="8" t="n"/>
      <c r="I20" s="7" t="n"/>
      <c r="J20" s="9">
        <f>IF(AND(ISNUMBER(G20),ISNUMBER(H20)),ROUND((H20-G20)*1440,2),"")</f>
        <v/>
      </c>
      <c r="K20" s="8" t="n"/>
      <c r="L20" s="8" t="n"/>
      <c r="M20" s="9">
        <f>IF(AND(ISNUMBER(K20),ISNUMBER(L20)),ROUND((L20-K20)*1440,2),"")</f>
        <v/>
      </c>
      <c r="N20" s="7" t="n"/>
      <c r="O20" s="9">
        <f>IF(A20="","",Plan!$C$2)</f>
        <v/>
      </c>
      <c r="P20" s="10">
        <f>IF(OR(M20="",O20=""),"",IF(M20+IF(Plan!$C$27="Yes",N20,0)&lt;=O20,"Yes","No"))</f>
        <v/>
      </c>
      <c r="Q20" s="8" t="n"/>
      <c r="R20" s="8" t="n"/>
      <c r="S20" s="9">
        <f>IF(AND(ISNUMBER(Q20),ISNUMBER(R20)),ROUND((Q20-R20)*1440,2),"")</f>
        <v/>
      </c>
      <c r="T20" s="9">
        <f>IF(A20="","",Plan!$C$3)</f>
        <v/>
      </c>
      <c r="U20" s="10">
        <f>IF(OR(S20="",T20=""),"",IF(S20&lt;=T20,"Yes","No"))</f>
        <v/>
      </c>
      <c r="V20" s="2" t="n"/>
      <c r="W20" s="2" t="n"/>
      <c r="X20" s="3" t="n"/>
    </row>
    <row r="21">
      <c r="A21" s="2" t="n"/>
      <c r="B21" s="5" t="n"/>
      <c r="C21" s="2" t="n"/>
      <c r="D21" s="6" t="n"/>
      <c r="E21" s="7" t="n"/>
      <c r="F21" s="2" t="n"/>
      <c r="G21" s="8" t="n"/>
      <c r="H21" s="8" t="n"/>
      <c r="I21" s="7" t="n"/>
      <c r="J21" s="9">
        <f>IF(AND(ISNUMBER(G21),ISNUMBER(H21)),ROUND((H21-G21)*1440,2),"")</f>
        <v/>
      </c>
      <c r="K21" s="8" t="n"/>
      <c r="L21" s="8" t="n"/>
      <c r="M21" s="9">
        <f>IF(AND(ISNUMBER(K21),ISNUMBER(L21)),ROUND((L21-K21)*1440,2),"")</f>
        <v/>
      </c>
      <c r="N21" s="7" t="n"/>
      <c r="O21" s="9">
        <f>IF(A21="","",Plan!$C$2)</f>
        <v/>
      </c>
      <c r="P21" s="10">
        <f>IF(OR(M21="",O21=""),"",IF(M21+IF(Plan!$C$27="Yes",N21,0)&lt;=O21,"Yes","No"))</f>
        <v/>
      </c>
      <c r="Q21" s="8" t="n"/>
      <c r="R21" s="8" t="n"/>
      <c r="S21" s="9">
        <f>IF(AND(ISNUMBER(Q21),ISNUMBER(R21)),ROUND((Q21-R21)*1440,2),"")</f>
        <v/>
      </c>
      <c r="T21" s="9">
        <f>IF(A21="","",Plan!$C$3)</f>
        <v/>
      </c>
      <c r="U21" s="10">
        <f>IF(OR(S21="",T21=""),"",IF(S21&lt;=T21,"Yes","No"))</f>
        <v/>
      </c>
      <c r="V21" s="2" t="n"/>
      <c r="W21" s="2" t="n"/>
      <c r="X21" s="3" t="n"/>
    </row>
    <row r="22">
      <c r="A22" s="2" t="n"/>
      <c r="B22" s="5" t="n"/>
      <c r="C22" s="2" t="n"/>
      <c r="D22" s="6" t="n"/>
      <c r="E22" s="7" t="n"/>
      <c r="F22" s="2" t="n"/>
      <c r="G22" s="8" t="n"/>
      <c r="H22" s="8" t="n"/>
      <c r="I22" s="7" t="n"/>
      <c r="J22" s="9">
        <f>IF(AND(ISNUMBER(G22),ISNUMBER(H22)),ROUND((H22-G22)*1440,2),"")</f>
        <v/>
      </c>
      <c r="K22" s="8" t="n"/>
      <c r="L22" s="8" t="n"/>
      <c r="M22" s="9">
        <f>IF(AND(ISNUMBER(K22),ISNUMBER(L22)),ROUND((L22-K22)*1440,2),"")</f>
        <v/>
      </c>
      <c r="N22" s="7" t="n"/>
      <c r="O22" s="9">
        <f>IF(A22="","",Plan!$C$2)</f>
        <v/>
      </c>
      <c r="P22" s="10">
        <f>IF(OR(M22="",O22=""),"",IF(M22+IF(Plan!$C$27="Yes",N22,0)&lt;=O22,"Yes","No"))</f>
        <v/>
      </c>
      <c r="Q22" s="8" t="n"/>
      <c r="R22" s="8" t="n"/>
      <c r="S22" s="9">
        <f>IF(AND(ISNUMBER(Q22),ISNUMBER(R22)),ROUND((Q22-R22)*1440,2),"")</f>
        <v/>
      </c>
      <c r="T22" s="9">
        <f>IF(A22="","",Plan!$C$3)</f>
        <v/>
      </c>
      <c r="U22" s="10">
        <f>IF(OR(S22="",T22=""),"",IF(S22&lt;=T22,"Yes","No"))</f>
        <v/>
      </c>
      <c r="V22" s="2" t="n"/>
      <c r="W22" s="2" t="n"/>
      <c r="X22" s="3" t="n"/>
    </row>
    <row r="23">
      <c r="A23" s="2" t="n"/>
      <c r="B23" s="5" t="n"/>
      <c r="C23" s="2" t="n"/>
      <c r="D23" s="6" t="n"/>
      <c r="E23" s="7" t="n"/>
      <c r="F23" s="2" t="n"/>
      <c r="G23" s="8" t="n"/>
      <c r="H23" s="8" t="n"/>
      <c r="I23" s="7" t="n"/>
      <c r="J23" s="9">
        <f>IF(AND(ISNUMBER(G23),ISNUMBER(H23)),ROUND((H23-G23)*1440,2),"")</f>
        <v/>
      </c>
      <c r="K23" s="8" t="n"/>
      <c r="L23" s="8" t="n"/>
      <c r="M23" s="9">
        <f>IF(AND(ISNUMBER(K23),ISNUMBER(L23)),ROUND((L23-K23)*1440,2),"")</f>
        <v/>
      </c>
      <c r="N23" s="7" t="n"/>
      <c r="O23" s="9">
        <f>IF(A23="","",Plan!$C$2)</f>
        <v/>
      </c>
      <c r="P23" s="10">
        <f>IF(OR(M23="",O23=""),"",IF(M23+IF(Plan!$C$27="Yes",N23,0)&lt;=O23,"Yes","No"))</f>
        <v/>
      </c>
      <c r="Q23" s="8" t="n"/>
      <c r="R23" s="8" t="n"/>
      <c r="S23" s="9">
        <f>IF(AND(ISNUMBER(Q23),ISNUMBER(R23)),ROUND((Q23-R23)*1440,2),"")</f>
        <v/>
      </c>
      <c r="T23" s="9">
        <f>IF(A23="","",Plan!$C$3)</f>
        <v/>
      </c>
      <c r="U23" s="10">
        <f>IF(OR(S23="",T23=""),"",IF(S23&lt;=T23,"Yes","No"))</f>
        <v/>
      </c>
      <c r="V23" s="2" t="n"/>
      <c r="W23" s="2" t="n"/>
      <c r="X23" s="3" t="n"/>
    </row>
    <row r="24">
      <c r="A24" s="2" t="n"/>
      <c r="B24" s="5" t="n"/>
      <c r="C24" s="2" t="n"/>
      <c r="D24" s="6" t="n"/>
      <c r="E24" s="7" t="n"/>
      <c r="F24" s="2" t="n"/>
      <c r="G24" s="8" t="n"/>
      <c r="H24" s="8" t="n"/>
      <c r="I24" s="7" t="n"/>
      <c r="J24" s="9">
        <f>IF(AND(ISNUMBER(G24),ISNUMBER(H24)),ROUND((H24-G24)*1440,2),"")</f>
        <v/>
      </c>
      <c r="K24" s="8" t="n"/>
      <c r="L24" s="8" t="n"/>
      <c r="M24" s="9">
        <f>IF(AND(ISNUMBER(K24),ISNUMBER(L24)),ROUND((L24-K24)*1440,2),"")</f>
        <v/>
      </c>
      <c r="N24" s="7" t="n"/>
      <c r="O24" s="9">
        <f>IF(A24="","",Plan!$C$2)</f>
        <v/>
      </c>
      <c r="P24" s="10">
        <f>IF(OR(M24="",O24=""),"",IF(M24+IF(Plan!$C$27="Yes",N24,0)&lt;=O24,"Yes","No"))</f>
        <v/>
      </c>
      <c r="Q24" s="8" t="n"/>
      <c r="R24" s="8" t="n"/>
      <c r="S24" s="9">
        <f>IF(AND(ISNUMBER(Q24),ISNUMBER(R24)),ROUND((Q24-R24)*1440,2),"")</f>
        <v/>
      </c>
      <c r="T24" s="9">
        <f>IF(A24="","",Plan!$C$3)</f>
        <v/>
      </c>
      <c r="U24" s="10">
        <f>IF(OR(S24="",T24=""),"",IF(S24&lt;=T24,"Yes","No"))</f>
        <v/>
      </c>
      <c r="V24" s="2" t="n"/>
      <c r="W24" s="2" t="n"/>
      <c r="X24" s="3" t="n"/>
    </row>
    <row r="25">
      <c r="A25" s="2" t="n"/>
      <c r="B25" s="5" t="n"/>
      <c r="C25" s="2" t="n"/>
      <c r="D25" s="6" t="n"/>
      <c r="E25" s="7" t="n"/>
      <c r="F25" s="2" t="n"/>
      <c r="G25" s="8" t="n"/>
      <c r="H25" s="8" t="n"/>
      <c r="I25" s="7" t="n"/>
      <c r="J25" s="9">
        <f>IF(AND(ISNUMBER(G25),ISNUMBER(H25)),ROUND((H25-G25)*1440,2),"")</f>
        <v/>
      </c>
      <c r="K25" s="8" t="n"/>
      <c r="L25" s="8" t="n"/>
      <c r="M25" s="9">
        <f>IF(AND(ISNUMBER(K25),ISNUMBER(L25)),ROUND((L25-K25)*1440,2),"")</f>
        <v/>
      </c>
      <c r="N25" s="7" t="n"/>
      <c r="O25" s="9">
        <f>IF(A25="","",Plan!$C$2)</f>
        <v/>
      </c>
      <c r="P25" s="10">
        <f>IF(OR(M25="",O25=""),"",IF(M25+IF(Plan!$C$27="Yes",N25,0)&lt;=O25,"Yes","No"))</f>
        <v/>
      </c>
      <c r="Q25" s="8" t="n"/>
      <c r="R25" s="8" t="n"/>
      <c r="S25" s="9">
        <f>IF(AND(ISNUMBER(Q25),ISNUMBER(R25)),ROUND((Q25-R25)*1440,2),"")</f>
        <v/>
      </c>
      <c r="T25" s="9">
        <f>IF(A25="","",Plan!$C$3)</f>
        <v/>
      </c>
      <c r="U25" s="10">
        <f>IF(OR(S25="",T25=""),"",IF(S25&lt;=T25,"Yes","No"))</f>
        <v/>
      </c>
      <c r="V25" s="2" t="n"/>
      <c r="W25" s="2" t="n"/>
      <c r="X25" s="3" t="n"/>
    </row>
    <row r="26">
      <c r="A26" s="2" t="n"/>
      <c r="B26" s="5" t="n"/>
      <c r="C26" s="2" t="n"/>
      <c r="D26" s="6" t="n"/>
      <c r="E26" s="7" t="n"/>
      <c r="F26" s="2" t="n"/>
      <c r="G26" s="8" t="n"/>
      <c r="H26" s="8" t="n"/>
      <c r="I26" s="7" t="n"/>
      <c r="J26" s="9">
        <f>IF(AND(ISNUMBER(G26),ISNUMBER(H26)),ROUND((H26-G26)*1440,2),"")</f>
        <v/>
      </c>
      <c r="K26" s="8" t="n"/>
      <c r="L26" s="8" t="n"/>
      <c r="M26" s="9">
        <f>IF(AND(ISNUMBER(K26),ISNUMBER(L26)),ROUND((L26-K26)*1440,2),"")</f>
        <v/>
      </c>
      <c r="N26" s="7" t="n"/>
      <c r="O26" s="9">
        <f>IF(A26="","",Plan!$C$2)</f>
        <v/>
      </c>
      <c r="P26" s="10">
        <f>IF(OR(M26="",O26=""),"",IF(M26+IF(Plan!$C$27="Yes",N26,0)&lt;=O26,"Yes","No"))</f>
        <v/>
      </c>
      <c r="Q26" s="8" t="n"/>
      <c r="R26" s="8" t="n"/>
      <c r="S26" s="9">
        <f>IF(AND(ISNUMBER(Q26),ISNUMBER(R26)),ROUND((Q26-R26)*1440,2),"")</f>
        <v/>
      </c>
      <c r="T26" s="9">
        <f>IF(A26="","",Plan!$C$3)</f>
        <v/>
      </c>
      <c r="U26" s="10">
        <f>IF(OR(S26="",T26=""),"",IF(S26&lt;=T26,"Yes","No"))</f>
        <v/>
      </c>
      <c r="V26" s="2" t="n"/>
      <c r="W26" s="2" t="n"/>
      <c r="X26" s="3" t="n"/>
    </row>
    <row r="27">
      <c r="A27" s="2" t="n"/>
      <c r="B27" s="5" t="n"/>
      <c r="C27" s="2" t="n"/>
      <c r="D27" s="6" t="n"/>
      <c r="E27" s="7" t="n"/>
      <c r="F27" s="2" t="n"/>
      <c r="G27" s="8" t="n"/>
      <c r="H27" s="8" t="n"/>
      <c r="I27" s="7" t="n"/>
      <c r="J27" s="9">
        <f>IF(AND(ISNUMBER(G27),ISNUMBER(H27)),ROUND((H27-G27)*1440,2),"")</f>
        <v/>
      </c>
      <c r="K27" s="8" t="n"/>
      <c r="L27" s="8" t="n"/>
      <c r="M27" s="9">
        <f>IF(AND(ISNUMBER(K27),ISNUMBER(L27)),ROUND((L27-K27)*1440,2),"")</f>
        <v/>
      </c>
      <c r="N27" s="7" t="n"/>
      <c r="O27" s="9">
        <f>IF(A27="","",Plan!$C$2)</f>
        <v/>
      </c>
      <c r="P27" s="10">
        <f>IF(OR(M27="",O27=""),"",IF(M27+IF(Plan!$C$27="Yes",N27,0)&lt;=O27,"Yes","No"))</f>
        <v/>
      </c>
      <c r="Q27" s="8" t="n"/>
      <c r="R27" s="8" t="n"/>
      <c r="S27" s="9">
        <f>IF(AND(ISNUMBER(Q27),ISNUMBER(R27)),ROUND((Q27-R27)*1440,2),"")</f>
        <v/>
      </c>
      <c r="T27" s="9">
        <f>IF(A27="","",Plan!$C$3)</f>
        <v/>
      </c>
      <c r="U27" s="10">
        <f>IF(OR(S27="",T27=""),"",IF(S27&lt;=T27,"Yes","No"))</f>
        <v/>
      </c>
      <c r="V27" s="2" t="n"/>
      <c r="W27" s="2" t="n"/>
      <c r="X27" s="3" t="n"/>
    </row>
    <row r="28">
      <c r="A28" s="2" t="n"/>
      <c r="B28" s="5" t="n"/>
      <c r="C28" s="2" t="n"/>
      <c r="D28" s="6" t="n"/>
      <c r="E28" s="7" t="n"/>
      <c r="F28" s="2" t="n"/>
      <c r="G28" s="8" t="n"/>
      <c r="H28" s="8" t="n"/>
      <c r="I28" s="7" t="n"/>
      <c r="J28" s="9">
        <f>IF(AND(ISNUMBER(G28),ISNUMBER(H28)),ROUND((H28-G28)*1440,2),"")</f>
        <v/>
      </c>
      <c r="K28" s="8" t="n"/>
      <c r="L28" s="8" t="n"/>
      <c r="M28" s="9">
        <f>IF(AND(ISNUMBER(K28),ISNUMBER(L28)),ROUND((L28-K28)*1440,2),"")</f>
        <v/>
      </c>
      <c r="N28" s="7" t="n"/>
      <c r="O28" s="9">
        <f>IF(A28="","",Plan!$C$2)</f>
        <v/>
      </c>
      <c r="P28" s="10">
        <f>IF(OR(M28="",O28=""),"",IF(M28+IF(Plan!$C$27="Yes",N28,0)&lt;=O28,"Yes","No"))</f>
        <v/>
      </c>
      <c r="Q28" s="8" t="n"/>
      <c r="R28" s="8" t="n"/>
      <c r="S28" s="9">
        <f>IF(AND(ISNUMBER(Q28),ISNUMBER(R28)),ROUND((Q28-R28)*1440,2),"")</f>
        <v/>
      </c>
      <c r="T28" s="9">
        <f>IF(A28="","",Plan!$C$3)</f>
        <v/>
      </c>
      <c r="U28" s="10">
        <f>IF(OR(S28="",T28=""),"",IF(S28&lt;=T28,"Yes","No"))</f>
        <v/>
      </c>
      <c r="V28" s="2" t="n"/>
      <c r="W28" s="2" t="n"/>
      <c r="X28" s="3" t="n"/>
    </row>
    <row r="29">
      <c r="A29" s="2" t="n"/>
      <c r="B29" s="5" t="n"/>
      <c r="C29" s="2" t="n"/>
      <c r="D29" s="6" t="n"/>
      <c r="E29" s="7" t="n"/>
      <c r="F29" s="2" t="n"/>
      <c r="G29" s="8" t="n"/>
      <c r="H29" s="8" t="n"/>
      <c r="I29" s="7" t="n"/>
      <c r="J29" s="9">
        <f>IF(AND(ISNUMBER(G29),ISNUMBER(H29)),ROUND((H29-G29)*1440,2),"")</f>
        <v/>
      </c>
      <c r="K29" s="8" t="n"/>
      <c r="L29" s="8" t="n"/>
      <c r="M29" s="9">
        <f>IF(AND(ISNUMBER(K29),ISNUMBER(L29)),ROUND((L29-K29)*1440,2),"")</f>
        <v/>
      </c>
      <c r="N29" s="7" t="n"/>
      <c r="O29" s="9">
        <f>IF(A29="","",Plan!$C$2)</f>
        <v/>
      </c>
      <c r="P29" s="10">
        <f>IF(OR(M29="",O29=""),"",IF(M29+IF(Plan!$C$27="Yes",N29,0)&lt;=O29,"Yes","No"))</f>
        <v/>
      </c>
      <c r="Q29" s="8" t="n"/>
      <c r="R29" s="8" t="n"/>
      <c r="S29" s="9">
        <f>IF(AND(ISNUMBER(Q29),ISNUMBER(R29)),ROUND((Q29-R29)*1440,2),"")</f>
        <v/>
      </c>
      <c r="T29" s="9">
        <f>IF(A29="","",Plan!$C$3)</f>
        <v/>
      </c>
      <c r="U29" s="10">
        <f>IF(OR(S29="",T29=""),"",IF(S29&lt;=T29,"Yes","No"))</f>
        <v/>
      </c>
      <c r="V29" s="2" t="n"/>
      <c r="W29" s="2" t="n"/>
      <c r="X29" s="3" t="n"/>
    </row>
    <row r="30">
      <c r="A30" s="2" t="n"/>
      <c r="B30" s="5" t="n"/>
      <c r="C30" s="2" t="n"/>
      <c r="D30" s="6" t="n"/>
      <c r="E30" s="7" t="n"/>
      <c r="F30" s="2" t="n"/>
      <c r="G30" s="8" t="n"/>
      <c r="H30" s="8" t="n"/>
      <c r="I30" s="7" t="n"/>
      <c r="J30" s="9">
        <f>IF(AND(ISNUMBER(G30),ISNUMBER(H30)),ROUND((H30-G30)*1440,2),"")</f>
        <v/>
      </c>
      <c r="K30" s="8" t="n"/>
      <c r="L30" s="8" t="n"/>
      <c r="M30" s="9">
        <f>IF(AND(ISNUMBER(K30),ISNUMBER(L30)),ROUND((L30-K30)*1440,2),"")</f>
        <v/>
      </c>
      <c r="N30" s="7" t="n"/>
      <c r="O30" s="9">
        <f>IF(A30="","",Plan!$C$2)</f>
        <v/>
      </c>
      <c r="P30" s="10">
        <f>IF(OR(M30="",O30=""),"",IF(M30+IF(Plan!$C$27="Yes",N30,0)&lt;=O30,"Yes","No"))</f>
        <v/>
      </c>
      <c r="Q30" s="8" t="n"/>
      <c r="R30" s="8" t="n"/>
      <c r="S30" s="9">
        <f>IF(AND(ISNUMBER(Q30),ISNUMBER(R30)),ROUND((Q30-R30)*1440,2),"")</f>
        <v/>
      </c>
      <c r="T30" s="9">
        <f>IF(A30="","",Plan!$C$3)</f>
        <v/>
      </c>
      <c r="U30" s="10">
        <f>IF(OR(S30="",T30=""),"",IF(S30&lt;=T30,"Yes","No"))</f>
        <v/>
      </c>
      <c r="V30" s="2" t="n"/>
      <c r="W30" s="2" t="n"/>
      <c r="X30" s="3" t="n"/>
    </row>
    <row r="31">
      <c r="A31" s="2" t="n"/>
      <c r="B31" s="5" t="n"/>
      <c r="C31" s="2" t="n"/>
      <c r="D31" s="6" t="n"/>
      <c r="E31" s="7" t="n"/>
      <c r="F31" s="2" t="n"/>
      <c r="G31" s="8" t="n"/>
      <c r="H31" s="8" t="n"/>
      <c r="I31" s="7" t="n"/>
      <c r="J31" s="9">
        <f>IF(AND(ISNUMBER(G31),ISNUMBER(H31)),ROUND((H31-G31)*1440,2),"")</f>
        <v/>
      </c>
      <c r="K31" s="8" t="n"/>
      <c r="L31" s="8" t="n"/>
      <c r="M31" s="9">
        <f>IF(AND(ISNUMBER(K31),ISNUMBER(L31)),ROUND((L31-K31)*1440,2),"")</f>
        <v/>
      </c>
      <c r="N31" s="7" t="n"/>
      <c r="O31" s="9">
        <f>IF(A31="","",Plan!$C$2)</f>
        <v/>
      </c>
      <c r="P31" s="10">
        <f>IF(OR(M31="",O31=""),"",IF(M31+IF(Plan!$C$27="Yes",N31,0)&lt;=O31,"Yes","No"))</f>
        <v/>
      </c>
      <c r="Q31" s="8" t="n"/>
      <c r="R31" s="8" t="n"/>
      <c r="S31" s="9">
        <f>IF(AND(ISNUMBER(Q31),ISNUMBER(R31)),ROUND((Q31-R31)*1440,2),"")</f>
        <v/>
      </c>
      <c r="T31" s="9">
        <f>IF(A31="","",Plan!$C$3)</f>
        <v/>
      </c>
      <c r="U31" s="10">
        <f>IF(OR(S31="",T31=""),"",IF(S31&lt;=T31,"Yes","No"))</f>
        <v/>
      </c>
      <c r="V31" s="2" t="n"/>
      <c r="W31" s="2" t="n"/>
      <c r="X31" s="3" t="n"/>
    </row>
    <row r="32">
      <c r="A32" s="2" t="n"/>
      <c r="B32" s="5" t="n"/>
      <c r="C32" s="2" t="n"/>
      <c r="D32" s="6" t="n"/>
      <c r="E32" s="7" t="n"/>
      <c r="F32" s="2" t="n"/>
      <c r="G32" s="8" t="n"/>
      <c r="H32" s="8" t="n"/>
      <c r="I32" s="7" t="n"/>
      <c r="J32" s="9">
        <f>IF(AND(ISNUMBER(G32),ISNUMBER(H32)),ROUND((H32-G32)*1440,2),"")</f>
        <v/>
      </c>
      <c r="K32" s="8" t="n"/>
      <c r="L32" s="8" t="n"/>
      <c r="M32" s="9">
        <f>IF(AND(ISNUMBER(K32),ISNUMBER(L32)),ROUND((L32-K32)*1440,2),"")</f>
        <v/>
      </c>
      <c r="N32" s="7" t="n"/>
      <c r="O32" s="9">
        <f>IF(A32="","",Plan!$C$2)</f>
        <v/>
      </c>
      <c r="P32" s="10">
        <f>IF(OR(M32="",O32=""),"",IF(M32+IF(Plan!$C$27="Yes",N32,0)&lt;=O32,"Yes","No"))</f>
        <v/>
      </c>
      <c r="Q32" s="8" t="n"/>
      <c r="R32" s="8" t="n"/>
      <c r="S32" s="9">
        <f>IF(AND(ISNUMBER(Q32),ISNUMBER(R32)),ROUND((Q32-R32)*1440,2),"")</f>
        <v/>
      </c>
      <c r="T32" s="9">
        <f>IF(A32="","",Plan!$C$3)</f>
        <v/>
      </c>
      <c r="U32" s="10">
        <f>IF(OR(S32="",T32=""),"",IF(S32&lt;=T32,"Yes","No"))</f>
        <v/>
      </c>
      <c r="V32" s="2" t="n"/>
      <c r="W32" s="2" t="n"/>
      <c r="X32" s="3" t="n"/>
    </row>
    <row r="33">
      <c r="A33" s="2" t="n"/>
      <c r="B33" s="5" t="n"/>
      <c r="C33" s="2" t="n"/>
      <c r="D33" s="6" t="n"/>
      <c r="E33" s="7" t="n"/>
      <c r="F33" s="2" t="n"/>
      <c r="G33" s="8" t="n"/>
      <c r="H33" s="8" t="n"/>
      <c r="I33" s="7" t="n"/>
      <c r="J33" s="9">
        <f>IF(AND(ISNUMBER(G33),ISNUMBER(H33)),ROUND((H33-G33)*1440,2),"")</f>
        <v/>
      </c>
      <c r="K33" s="8" t="n"/>
      <c r="L33" s="8" t="n"/>
      <c r="M33" s="9">
        <f>IF(AND(ISNUMBER(K33),ISNUMBER(L33)),ROUND((L33-K33)*1440,2),"")</f>
        <v/>
      </c>
      <c r="N33" s="7" t="n"/>
      <c r="O33" s="9">
        <f>IF(A33="","",Plan!$C$2)</f>
        <v/>
      </c>
      <c r="P33" s="10">
        <f>IF(OR(M33="",O33=""),"",IF(M33+IF(Plan!$C$27="Yes",N33,0)&lt;=O33,"Yes","No"))</f>
        <v/>
      </c>
      <c r="Q33" s="8" t="n"/>
      <c r="R33" s="8" t="n"/>
      <c r="S33" s="9">
        <f>IF(AND(ISNUMBER(Q33),ISNUMBER(R33)),ROUND((Q33-R33)*1440,2),"")</f>
        <v/>
      </c>
      <c r="T33" s="9">
        <f>IF(A33="","",Plan!$C$3)</f>
        <v/>
      </c>
      <c r="U33" s="10">
        <f>IF(OR(S33="",T33=""),"",IF(S33&lt;=T33,"Yes","No"))</f>
        <v/>
      </c>
      <c r="V33" s="2" t="n"/>
      <c r="W33" s="2" t="n"/>
      <c r="X33" s="3" t="n"/>
    </row>
    <row r="34">
      <c r="A34" s="2" t="n"/>
      <c r="B34" s="5" t="n"/>
      <c r="C34" s="2" t="n"/>
      <c r="D34" s="6" t="n"/>
      <c r="E34" s="7" t="n"/>
      <c r="F34" s="2" t="n"/>
      <c r="G34" s="8" t="n"/>
      <c r="H34" s="8" t="n"/>
      <c r="I34" s="7" t="n"/>
      <c r="J34" s="9">
        <f>IF(AND(ISNUMBER(G34),ISNUMBER(H34)),ROUND((H34-G34)*1440,2),"")</f>
        <v/>
      </c>
      <c r="K34" s="8" t="n"/>
      <c r="L34" s="8" t="n"/>
      <c r="M34" s="9">
        <f>IF(AND(ISNUMBER(K34),ISNUMBER(L34)),ROUND((L34-K34)*1440,2),"")</f>
        <v/>
      </c>
      <c r="N34" s="7" t="n"/>
      <c r="O34" s="9">
        <f>IF(A34="","",Plan!$C$2)</f>
        <v/>
      </c>
      <c r="P34" s="10">
        <f>IF(OR(M34="",O34=""),"",IF(M34+IF(Plan!$C$27="Yes",N34,0)&lt;=O34,"Yes","No"))</f>
        <v/>
      </c>
      <c r="Q34" s="8" t="n"/>
      <c r="R34" s="8" t="n"/>
      <c r="S34" s="9">
        <f>IF(AND(ISNUMBER(Q34),ISNUMBER(R34)),ROUND((Q34-R34)*1440,2),"")</f>
        <v/>
      </c>
      <c r="T34" s="9">
        <f>IF(A34="","",Plan!$C$3)</f>
        <v/>
      </c>
      <c r="U34" s="10">
        <f>IF(OR(S34="",T34=""),"",IF(S34&lt;=T34,"Yes","No"))</f>
        <v/>
      </c>
      <c r="V34" s="2" t="n"/>
      <c r="W34" s="2" t="n"/>
      <c r="X34" s="3" t="n"/>
    </row>
    <row r="35">
      <c r="A35" s="2" t="n"/>
      <c r="B35" s="5" t="n"/>
      <c r="C35" s="2" t="n"/>
      <c r="D35" s="6" t="n"/>
      <c r="E35" s="7" t="n"/>
      <c r="F35" s="2" t="n"/>
      <c r="G35" s="8" t="n"/>
      <c r="H35" s="8" t="n"/>
      <c r="I35" s="7" t="n"/>
      <c r="J35" s="9">
        <f>IF(AND(ISNUMBER(G35),ISNUMBER(H35)),ROUND((H35-G35)*1440,2),"")</f>
        <v/>
      </c>
      <c r="K35" s="8" t="n"/>
      <c r="L35" s="8" t="n"/>
      <c r="M35" s="9">
        <f>IF(AND(ISNUMBER(K35),ISNUMBER(L35)),ROUND((L35-K35)*1440,2),"")</f>
        <v/>
      </c>
      <c r="N35" s="7" t="n"/>
      <c r="O35" s="9">
        <f>IF(A35="","",Plan!$C$2)</f>
        <v/>
      </c>
      <c r="P35" s="10">
        <f>IF(OR(M35="",O35=""),"",IF(M35+IF(Plan!$C$27="Yes",N35,0)&lt;=O35,"Yes","No"))</f>
        <v/>
      </c>
      <c r="Q35" s="8" t="n"/>
      <c r="R35" s="8" t="n"/>
      <c r="S35" s="9">
        <f>IF(AND(ISNUMBER(Q35),ISNUMBER(R35)),ROUND((Q35-R35)*1440,2),"")</f>
        <v/>
      </c>
      <c r="T35" s="9">
        <f>IF(A35="","",Plan!$C$3)</f>
        <v/>
      </c>
      <c r="U35" s="10">
        <f>IF(OR(S35="",T35=""),"",IF(S35&lt;=T35,"Yes","No"))</f>
        <v/>
      </c>
      <c r="V35" s="2" t="n"/>
      <c r="W35" s="2" t="n"/>
      <c r="X35" s="3" t="n"/>
    </row>
    <row r="36">
      <c r="A36" s="2" t="n"/>
      <c r="B36" s="5" t="n"/>
      <c r="C36" s="2" t="n"/>
      <c r="D36" s="6" t="n"/>
      <c r="E36" s="7" t="n"/>
      <c r="F36" s="2" t="n"/>
      <c r="G36" s="8" t="n"/>
      <c r="H36" s="8" t="n"/>
      <c r="I36" s="7" t="n"/>
      <c r="J36" s="9">
        <f>IF(AND(ISNUMBER(G36),ISNUMBER(H36)),ROUND((H36-G36)*1440,2),"")</f>
        <v/>
      </c>
      <c r="K36" s="8" t="n"/>
      <c r="L36" s="8" t="n"/>
      <c r="M36" s="9">
        <f>IF(AND(ISNUMBER(K36),ISNUMBER(L36)),ROUND((L36-K36)*1440,2),"")</f>
        <v/>
      </c>
      <c r="N36" s="7" t="n"/>
      <c r="O36" s="9">
        <f>IF(A36="","",Plan!$C$2)</f>
        <v/>
      </c>
      <c r="P36" s="10">
        <f>IF(OR(M36="",O36=""),"",IF(M36+IF(Plan!$C$27="Yes",N36,0)&lt;=O36,"Yes","No"))</f>
        <v/>
      </c>
      <c r="Q36" s="8" t="n"/>
      <c r="R36" s="8" t="n"/>
      <c r="S36" s="9">
        <f>IF(AND(ISNUMBER(Q36),ISNUMBER(R36)),ROUND((Q36-R36)*1440,2),"")</f>
        <v/>
      </c>
      <c r="T36" s="9">
        <f>IF(A36="","",Plan!$C$3)</f>
        <v/>
      </c>
      <c r="U36" s="10">
        <f>IF(OR(S36="",T36=""),"",IF(S36&lt;=T36,"Yes","No"))</f>
        <v/>
      </c>
      <c r="V36" s="2" t="n"/>
      <c r="W36" s="2" t="n"/>
      <c r="X36" s="3" t="n"/>
    </row>
    <row r="37">
      <c r="A37" s="2" t="n"/>
      <c r="B37" s="5" t="n"/>
      <c r="C37" s="2" t="n"/>
      <c r="D37" s="6" t="n"/>
      <c r="E37" s="7" t="n"/>
      <c r="F37" s="2" t="n"/>
      <c r="G37" s="8" t="n"/>
      <c r="H37" s="8" t="n"/>
      <c r="I37" s="7" t="n"/>
      <c r="J37" s="9">
        <f>IF(AND(ISNUMBER(G37),ISNUMBER(H37)),ROUND((H37-G37)*1440,2),"")</f>
        <v/>
      </c>
      <c r="K37" s="8" t="n"/>
      <c r="L37" s="8" t="n"/>
      <c r="M37" s="9">
        <f>IF(AND(ISNUMBER(K37),ISNUMBER(L37)),ROUND((L37-K37)*1440,2),"")</f>
        <v/>
      </c>
      <c r="N37" s="7" t="n"/>
      <c r="O37" s="9">
        <f>IF(A37="","",Plan!$C$2)</f>
        <v/>
      </c>
      <c r="P37" s="10">
        <f>IF(OR(M37="",O37=""),"",IF(M37+IF(Plan!$C$27="Yes",N37,0)&lt;=O37,"Yes","No"))</f>
        <v/>
      </c>
      <c r="Q37" s="8" t="n"/>
      <c r="R37" s="8" t="n"/>
      <c r="S37" s="9">
        <f>IF(AND(ISNUMBER(Q37),ISNUMBER(R37)),ROUND((Q37-R37)*1440,2),"")</f>
        <v/>
      </c>
      <c r="T37" s="9">
        <f>IF(A37="","",Plan!$C$3)</f>
        <v/>
      </c>
      <c r="U37" s="10">
        <f>IF(OR(S37="",T37=""),"",IF(S37&lt;=T37,"Yes","No"))</f>
        <v/>
      </c>
      <c r="V37" s="2" t="n"/>
      <c r="W37" s="2" t="n"/>
      <c r="X37" s="3" t="n"/>
    </row>
    <row r="38">
      <c r="A38" s="2" t="n"/>
      <c r="B38" s="5" t="n"/>
      <c r="C38" s="2" t="n"/>
      <c r="D38" s="6" t="n"/>
      <c r="E38" s="7" t="n"/>
      <c r="F38" s="2" t="n"/>
      <c r="G38" s="8" t="n"/>
      <c r="H38" s="8" t="n"/>
      <c r="I38" s="7" t="n"/>
      <c r="J38" s="9">
        <f>IF(AND(ISNUMBER(G38),ISNUMBER(H38)),ROUND((H38-G38)*1440,2),"")</f>
        <v/>
      </c>
      <c r="K38" s="8" t="n"/>
      <c r="L38" s="8" t="n"/>
      <c r="M38" s="9">
        <f>IF(AND(ISNUMBER(K38),ISNUMBER(L38)),ROUND((L38-K38)*1440,2),"")</f>
        <v/>
      </c>
      <c r="N38" s="7" t="n"/>
      <c r="O38" s="9">
        <f>IF(A38="","",Plan!$C$2)</f>
        <v/>
      </c>
      <c r="P38" s="10">
        <f>IF(OR(M38="",O38=""),"",IF(M38+IF(Plan!$C$27="Yes",N38,0)&lt;=O38,"Yes","No"))</f>
        <v/>
      </c>
      <c r="Q38" s="8" t="n"/>
      <c r="R38" s="8" t="n"/>
      <c r="S38" s="9">
        <f>IF(AND(ISNUMBER(Q38),ISNUMBER(R38)),ROUND((Q38-R38)*1440,2),"")</f>
        <v/>
      </c>
      <c r="T38" s="9">
        <f>IF(A38="","",Plan!$C$3)</f>
        <v/>
      </c>
      <c r="U38" s="10">
        <f>IF(OR(S38="",T38=""),"",IF(S38&lt;=T38,"Yes","No"))</f>
        <v/>
      </c>
      <c r="V38" s="2" t="n"/>
      <c r="W38" s="2" t="n"/>
      <c r="X38" s="3" t="n"/>
    </row>
    <row r="39">
      <c r="A39" s="2" t="n"/>
      <c r="B39" s="5" t="n"/>
      <c r="C39" s="2" t="n"/>
      <c r="D39" s="6" t="n"/>
      <c r="E39" s="7" t="n"/>
      <c r="F39" s="2" t="n"/>
      <c r="G39" s="8" t="n"/>
      <c r="H39" s="8" t="n"/>
      <c r="I39" s="7" t="n"/>
      <c r="J39" s="9">
        <f>IF(AND(ISNUMBER(G39),ISNUMBER(H39)),ROUND((H39-G39)*1440,2),"")</f>
        <v/>
      </c>
      <c r="K39" s="8" t="n"/>
      <c r="L39" s="8" t="n"/>
      <c r="M39" s="9">
        <f>IF(AND(ISNUMBER(K39),ISNUMBER(L39)),ROUND((L39-K39)*1440,2),"")</f>
        <v/>
      </c>
      <c r="N39" s="7" t="n"/>
      <c r="O39" s="9">
        <f>IF(A39="","",Plan!$C$2)</f>
        <v/>
      </c>
      <c r="P39" s="10">
        <f>IF(OR(M39="",O39=""),"",IF(M39+IF(Plan!$C$27="Yes",N39,0)&lt;=O39,"Yes","No"))</f>
        <v/>
      </c>
      <c r="Q39" s="8" t="n"/>
      <c r="R39" s="8" t="n"/>
      <c r="S39" s="9">
        <f>IF(AND(ISNUMBER(Q39),ISNUMBER(R39)),ROUND((Q39-R39)*1440,2),"")</f>
        <v/>
      </c>
      <c r="T39" s="9">
        <f>IF(A39="","",Plan!$C$3)</f>
        <v/>
      </c>
      <c r="U39" s="10">
        <f>IF(OR(S39="",T39=""),"",IF(S39&lt;=T39,"Yes","No"))</f>
        <v/>
      </c>
      <c r="V39" s="2" t="n"/>
      <c r="W39" s="2" t="n"/>
      <c r="X39" s="3" t="n"/>
    </row>
    <row r="40">
      <c r="A40" s="2" t="n"/>
      <c r="B40" s="5" t="n"/>
      <c r="C40" s="2" t="n"/>
      <c r="D40" s="6" t="n"/>
      <c r="E40" s="7" t="n"/>
      <c r="F40" s="2" t="n"/>
      <c r="G40" s="8" t="n"/>
      <c r="H40" s="8" t="n"/>
      <c r="I40" s="7" t="n"/>
      <c r="J40" s="9">
        <f>IF(AND(ISNUMBER(G40),ISNUMBER(H40)),ROUND((H40-G40)*1440,2),"")</f>
        <v/>
      </c>
      <c r="K40" s="8" t="n"/>
      <c r="L40" s="8" t="n"/>
      <c r="M40" s="9">
        <f>IF(AND(ISNUMBER(K40),ISNUMBER(L40)),ROUND((L40-K40)*1440,2),"")</f>
        <v/>
      </c>
      <c r="N40" s="7" t="n"/>
      <c r="O40" s="9">
        <f>IF(A40="","",Plan!$C$2)</f>
        <v/>
      </c>
      <c r="P40" s="10">
        <f>IF(OR(M40="",O40=""),"",IF(M40+IF(Plan!$C$27="Yes",N40,0)&lt;=O40,"Yes","No"))</f>
        <v/>
      </c>
      <c r="Q40" s="8" t="n"/>
      <c r="R40" s="8" t="n"/>
      <c r="S40" s="9">
        <f>IF(AND(ISNUMBER(Q40),ISNUMBER(R40)),ROUND((Q40-R40)*1440,2),"")</f>
        <v/>
      </c>
      <c r="T40" s="9">
        <f>IF(A40="","",Plan!$C$3)</f>
        <v/>
      </c>
      <c r="U40" s="10">
        <f>IF(OR(S40="",T40=""),"",IF(S40&lt;=T40,"Yes","No"))</f>
        <v/>
      </c>
      <c r="V40" s="2" t="n"/>
      <c r="W40" s="2" t="n"/>
      <c r="X40" s="3" t="n"/>
    </row>
    <row r="41">
      <c r="A41" s="2" t="n"/>
      <c r="B41" s="5" t="n"/>
      <c r="C41" s="2" t="n"/>
      <c r="D41" s="6" t="n"/>
      <c r="E41" s="7" t="n"/>
      <c r="F41" s="2" t="n"/>
      <c r="G41" s="8" t="n"/>
      <c r="H41" s="8" t="n"/>
      <c r="I41" s="7" t="n"/>
      <c r="J41" s="9">
        <f>IF(AND(ISNUMBER(G41),ISNUMBER(H41)),ROUND((H41-G41)*1440,2),"")</f>
        <v/>
      </c>
      <c r="K41" s="8" t="n"/>
      <c r="L41" s="8" t="n"/>
      <c r="M41" s="9">
        <f>IF(AND(ISNUMBER(K41),ISNUMBER(L41)),ROUND((L41-K41)*1440,2),"")</f>
        <v/>
      </c>
      <c r="N41" s="7" t="n"/>
      <c r="O41" s="9">
        <f>IF(A41="","",Plan!$C$2)</f>
        <v/>
      </c>
      <c r="P41" s="10">
        <f>IF(OR(M41="",O41=""),"",IF(M41+IF(Plan!$C$27="Yes",N41,0)&lt;=O41,"Yes","No"))</f>
        <v/>
      </c>
      <c r="Q41" s="8" t="n"/>
      <c r="R41" s="8" t="n"/>
      <c r="S41" s="9">
        <f>IF(AND(ISNUMBER(Q41),ISNUMBER(R41)),ROUND((Q41-R41)*1440,2),"")</f>
        <v/>
      </c>
      <c r="T41" s="9">
        <f>IF(A41="","",Plan!$C$3)</f>
        <v/>
      </c>
      <c r="U41" s="10">
        <f>IF(OR(S41="",T41=""),"",IF(S41&lt;=T41,"Yes","No"))</f>
        <v/>
      </c>
      <c r="V41" s="2" t="n"/>
      <c r="W41" s="2" t="n"/>
      <c r="X41" s="3" t="n"/>
    </row>
    <row r="42">
      <c r="A42" s="2" t="n"/>
      <c r="B42" s="5" t="n"/>
      <c r="C42" s="2" t="n"/>
      <c r="D42" s="6" t="n"/>
      <c r="E42" s="7" t="n"/>
      <c r="F42" s="2" t="n"/>
      <c r="G42" s="8" t="n"/>
      <c r="H42" s="8" t="n"/>
      <c r="I42" s="7" t="n"/>
      <c r="J42" s="9">
        <f>IF(AND(ISNUMBER(G42),ISNUMBER(H42)),ROUND((H42-G42)*1440,2),"")</f>
        <v/>
      </c>
      <c r="K42" s="8" t="n"/>
      <c r="L42" s="8" t="n"/>
      <c r="M42" s="9">
        <f>IF(AND(ISNUMBER(K42),ISNUMBER(L42)),ROUND((L42-K42)*1440,2),"")</f>
        <v/>
      </c>
      <c r="N42" s="7" t="n"/>
      <c r="O42" s="9">
        <f>IF(A42="","",Plan!$C$2)</f>
        <v/>
      </c>
      <c r="P42" s="10">
        <f>IF(OR(M42="",O42=""),"",IF(M42+IF(Plan!$C$27="Yes",N42,0)&lt;=O42,"Yes","No"))</f>
        <v/>
      </c>
      <c r="Q42" s="8" t="n"/>
      <c r="R42" s="8" t="n"/>
      <c r="S42" s="9">
        <f>IF(AND(ISNUMBER(Q42),ISNUMBER(R42)),ROUND((Q42-R42)*1440,2),"")</f>
        <v/>
      </c>
      <c r="T42" s="9">
        <f>IF(A42="","",Plan!$C$3)</f>
        <v/>
      </c>
      <c r="U42" s="10">
        <f>IF(OR(S42="",T42=""),"",IF(S42&lt;=T42,"Yes","No"))</f>
        <v/>
      </c>
      <c r="V42" s="2" t="n"/>
      <c r="W42" s="2" t="n"/>
      <c r="X42" s="3" t="n"/>
    </row>
    <row r="43">
      <c r="A43" s="2" t="n"/>
      <c r="B43" s="5" t="n"/>
      <c r="C43" s="2" t="n"/>
      <c r="D43" s="6" t="n"/>
      <c r="E43" s="7" t="n"/>
      <c r="F43" s="2" t="n"/>
      <c r="G43" s="8" t="n"/>
      <c r="H43" s="8" t="n"/>
      <c r="I43" s="7" t="n"/>
      <c r="J43" s="9">
        <f>IF(AND(ISNUMBER(G43),ISNUMBER(H43)),ROUND((H43-G43)*1440,2),"")</f>
        <v/>
      </c>
      <c r="K43" s="8" t="n"/>
      <c r="L43" s="8" t="n"/>
      <c r="M43" s="9">
        <f>IF(AND(ISNUMBER(K43),ISNUMBER(L43)),ROUND((L43-K43)*1440,2),"")</f>
        <v/>
      </c>
      <c r="N43" s="7" t="n"/>
      <c r="O43" s="9">
        <f>IF(A43="","",Plan!$C$2)</f>
        <v/>
      </c>
      <c r="P43" s="10">
        <f>IF(OR(M43="",O43=""),"",IF(M43+IF(Plan!$C$27="Yes",N43,0)&lt;=O43,"Yes","No"))</f>
        <v/>
      </c>
      <c r="Q43" s="8" t="n"/>
      <c r="R43" s="8" t="n"/>
      <c r="S43" s="9">
        <f>IF(AND(ISNUMBER(Q43),ISNUMBER(R43)),ROUND((Q43-R43)*1440,2),"")</f>
        <v/>
      </c>
      <c r="T43" s="9">
        <f>IF(A43="","",Plan!$C$3)</f>
        <v/>
      </c>
      <c r="U43" s="10">
        <f>IF(OR(S43="",T43=""),"",IF(S43&lt;=T43,"Yes","No"))</f>
        <v/>
      </c>
      <c r="V43" s="2" t="n"/>
      <c r="W43" s="2" t="n"/>
      <c r="X43" s="3" t="n"/>
    </row>
    <row r="44">
      <c r="A44" s="2" t="n"/>
      <c r="B44" s="5" t="n"/>
      <c r="C44" s="2" t="n"/>
      <c r="D44" s="6" t="n"/>
      <c r="E44" s="7" t="n"/>
      <c r="F44" s="2" t="n"/>
      <c r="G44" s="8" t="n"/>
      <c r="H44" s="8" t="n"/>
      <c r="I44" s="7" t="n"/>
      <c r="J44" s="9">
        <f>IF(AND(ISNUMBER(G44),ISNUMBER(H44)),ROUND((H44-G44)*1440,2),"")</f>
        <v/>
      </c>
      <c r="K44" s="8" t="n"/>
      <c r="L44" s="8" t="n"/>
      <c r="M44" s="9">
        <f>IF(AND(ISNUMBER(K44),ISNUMBER(L44)),ROUND((L44-K44)*1440,2),"")</f>
        <v/>
      </c>
      <c r="N44" s="7" t="n"/>
      <c r="O44" s="9">
        <f>IF(A44="","",Plan!$C$2)</f>
        <v/>
      </c>
      <c r="P44" s="10">
        <f>IF(OR(M44="",O44=""),"",IF(M44+IF(Plan!$C$27="Yes",N44,0)&lt;=O44,"Yes","No"))</f>
        <v/>
      </c>
      <c r="Q44" s="8" t="n"/>
      <c r="R44" s="8" t="n"/>
      <c r="S44" s="9">
        <f>IF(AND(ISNUMBER(Q44),ISNUMBER(R44)),ROUND((Q44-R44)*1440,2),"")</f>
        <v/>
      </c>
      <c r="T44" s="9">
        <f>IF(A44="","",Plan!$C$3)</f>
        <v/>
      </c>
      <c r="U44" s="10">
        <f>IF(OR(S44="",T44=""),"",IF(S44&lt;=T44,"Yes","No"))</f>
        <v/>
      </c>
      <c r="V44" s="2" t="n"/>
      <c r="W44" s="2" t="n"/>
      <c r="X44" s="3" t="n"/>
    </row>
    <row r="45">
      <c r="A45" s="2" t="n"/>
      <c r="B45" s="5" t="n"/>
      <c r="C45" s="2" t="n"/>
      <c r="D45" s="6" t="n"/>
      <c r="E45" s="7" t="n"/>
      <c r="F45" s="2" t="n"/>
      <c r="G45" s="8" t="n"/>
      <c r="H45" s="8" t="n"/>
      <c r="I45" s="7" t="n"/>
      <c r="J45" s="9">
        <f>IF(AND(ISNUMBER(G45),ISNUMBER(H45)),ROUND((H45-G45)*1440,2),"")</f>
        <v/>
      </c>
      <c r="K45" s="8" t="n"/>
      <c r="L45" s="8" t="n"/>
      <c r="M45" s="9">
        <f>IF(AND(ISNUMBER(K45),ISNUMBER(L45)),ROUND((L45-K45)*1440,2),"")</f>
        <v/>
      </c>
      <c r="N45" s="7" t="n"/>
      <c r="O45" s="9">
        <f>IF(A45="","",Plan!$C$2)</f>
        <v/>
      </c>
      <c r="P45" s="10">
        <f>IF(OR(M45="",O45=""),"",IF(M45+IF(Plan!$C$27="Yes",N45,0)&lt;=O45,"Yes","No"))</f>
        <v/>
      </c>
      <c r="Q45" s="8" t="n"/>
      <c r="R45" s="8" t="n"/>
      <c r="S45" s="9">
        <f>IF(AND(ISNUMBER(Q45),ISNUMBER(R45)),ROUND((Q45-R45)*1440,2),"")</f>
        <v/>
      </c>
      <c r="T45" s="9">
        <f>IF(A45="","",Plan!$C$3)</f>
        <v/>
      </c>
      <c r="U45" s="10">
        <f>IF(OR(S45="",T45=""),"",IF(S45&lt;=T45,"Yes","No"))</f>
        <v/>
      </c>
      <c r="V45" s="2" t="n"/>
      <c r="W45" s="2" t="n"/>
      <c r="X45" s="3" t="n"/>
    </row>
    <row r="46">
      <c r="A46" s="2" t="n"/>
      <c r="B46" s="5" t="n"/>
      <c r="C46" s="2" t="n"/>
      <c r="D46" s="6" t="n"/>
      <c r="E46" s="7" t="n"/>
      <c r="F46" s="2" t="n"/>
      <c r="G46" s="8" t="n"/>
      <c r="H46" s="8" t="n"/>
      <c r="I46" s="7" t="n"/>
      <c r="J46" s="9">
        <f>IF(AND(ISNUMBER(G46),ISNUMBER(H46)),ROUND((H46-G46)*1440,2),"")</f>
        <v/>
      </c>
      <c r="K46" s="8" t="n"/>
      <c r="L46" s="8" t="n"/>
      <c r="M46" s="9">
        <f>IF(AND(ISNUMBER(K46),ISNUMBER(L46)),ROUND((L46-K46)*1440,2),"")</f>
        <v/>
      </c>
      <c r="N46" s="7" t="n"/>
      <c r="O46" s="9">
        <f>IF(A46="","",Plan!$C$2)</f>
        <v/>
      </c>
      <c r="P46" s="10">
        <f>IF(OR(M46="",O46=""),"",IF(M46+IF(Plan!$C$27="Yes",N46,0)&lt;=O46,"Yes","No"))</f>
        <v/>
      </c>
      <c r="Q46" s="8" t="n"/>
      <c r="R46" s="8" t="n"/>
      <c r="S46" s="9">
        <f>IF(AND(ISNUMBER(Q46),ISNUMBER(R46)),ROUND((Q46-R46)*1440,2),"")</f>
        <v/>
      </c>
      <c r="T46" s="9">
        <f>IF(A46="","",Plan!$C$3)</f>
        <v/>
      </c>
      <c r="U46" s="10">
        <f>IF(OR(S46="",T46=""),"",IF(S46&lt;=T46,"Yes","No"))</f>
        <v/>
      </c>
      <c r="V46" s="2" t="n"/>
      <c r="W46" s="2" t="n"/>
      <c r="X46" s="3" t="n"/>
    </row>
    <row r="47">
      <c r="A47" s="2" t="n"/>
      <c r="B47" s="5" t="n"/>
      <c r="C47" s="2" t="n"/>
      <c r="D47" s="6" t="n"/>
      <c r="E47" s="7" t="n"/>
      <c r="F47" s="2" t="n"/>
      <c r="G47" s="8" t="n"/>
      <c r="H47" s="8" t="n"/>
      <c r="I47" s="7" t="n"/>
      <c r="J47" s="9">
        <f>IF(AND(ISNUMBER(G47),ISNUMBER(H47)),ROUND((H47-G47)*1440,2),"")</f>
        <v/>
      </c>
      <c r="K47" s="8" t="n"/>
      <c r="L47" s="8" t="n"/>
      <c r="M47" s="9">
        <f>IF(AND(ISNUMBER(K47),ISNUMBER(L47)),ROUND((L47-K47)*1440,2),"")</f>
        <v/>
      </c>
      <c r="N47" s="7" t="n"/>
      <c r="O47" s="9">
        <f>IF(A47="","",Plan!$C$2)</f>
        <v/>
      </c>
      <c r="P47" s="10">
        <f>IF(OR(M47="",O47=""),"",IF(M47+IF(Plan!$C$27="Yes",N47,0)&lt;=O47,"Yes","No"))</f>
        <v/>
      </c>
      <c r="Q47" s="8" t="n"/>
      <c r="R47" s="8" t="n"/>
      <c r="S47" s="9">
        <f>IF(AND(ISNUMBER(Q47),ISNUMBER(R47)),ROUND((Q47-R47)*1440,2),"")</f>
        <v/>
      </c>
      <c r="T47" s="9">
        <f>IF(A47="","",Plan!$C$3)</f>
        <v/>
      </c>
      <c r="U47" s="10">
        <f>IF(OR(S47="",T47=""),"",IF(S47&lt;=T47,"Yes","No"))</f>
        <v/>
      </c>
      <c r="V47" s="2" t="n"/>
      <c r="W47" s="2" t="n"/>
      <c r="X47" s="3" t="n"/>
    </row>
    <row r="48">
      <c r="A48" s="2" t="n"/>
      <c r="B48" s="5" t="n"/>
      <c r="C48" s="2" t="n"/>
      <c r="D48" s="6" t="n"/>
      <c r="E48" s="7" t="n"/>
      <c r="F48" s="2" t="n"/>
      <c r="G48" s="8" t="n"/>
      <c r="H48" s="8" t="n"/>
      <c r="I48" s="7" t="n"/>
      <c r="J48" s="9">
        <f>IF(AND(ISNUMBER(G48),ISNUMBER(H48)),ROUND((H48-G48)*1440,2),"")</f>
        <v/>
      </c>
      <c r="K48" s="8" t="n"/>
      <c r="L48" s="8" t="n"/>
      <c r="M48" s="9">
        <f>IF(AND(ISNUMBER(K48),ISNUMBER(L48)),ROUND((L48-K48)*1440,2),"")</f>
        <v/>
      </c>
      <c r="N48" s="7" t="n"/>
      <c r="O48" s="9">
        <f>IF(A48="","",Plan!$C$2)</f>
        <v/>
      </c>
      <c r="P48" s="10">
        <f>IF(OR(M48="",O48=""),"",IF(M48+IF(Plan!$C$27="Yes",N48,0)&lt;=O48,"Yes","No"))</f>
        <v/>
      </c>
      <c r="Q48" s="8" t="n"/>
      <c r="R48" s="8" t="n"/>
      <c r="S48" s="9">
        <f>IF(AND(ISNUMBER(Q48),ISNUMBER(R48)),ROUND((Q48-R48)*1440,2),"")</f>
        <v/>
      </c>
      <c r="T48" s="9">
        <f>IF(A48="","",Plan!$C$3)</f>
        <v/>
      </c>
      <c r="U48" s="10">
        <f>IF(OR(S48="",T48=""),"",IF(S48&lt;=T48,"Yes","No"))</f>
        <v/>
      </c>
      <c r="V48" s="2" t="n"/>
      <c r="W48" s="2" t="n"/>
      <c r="X48" s="3" t="n"/>
    </row>
    <row r="49">
      <c r="A49" s="2" t="n"/>
      <c r="B49" s="5" t="n"/>
      <c r="C49" s="2" t="n"/>
      <c r="D49" s="6" t="n"/>
      <c r="E49" s="7" t="n"/>
      <c r="F49" s="2" t="n"/>
      <c r="G49" s="8" t="n"/>
      <c r="H49" s="8" t="n"/>
      <c r="I49" s="7" t="n"/>
      <c r="J49" s="9">
        <f>IF(AND(ISNUMBER(G49),ISNUMBER(H49)),ROUND((H49-G49)*1440,2),"")</f>
        <v/>
      </c>
      <c r="K49" s="8" t="n"/>
      <c r="L49" s="8" t="n"/>
      <c r="M49" s="9">
        <f>IF(AND(ISNUMBER(K49),ISNUMBER(L49)),ROUND((L49-K49)*1440,2),"")</f>
        <v/>
      </c>
      <c r="N49" s="7" t="n"/>
      <c r="O49" s="9">
        <f>IF(A49="","",Plan!$C$2)</f>
        <v/>
      </c>
      <c r="P49" s="10">
        <f>IF(OR(M49="",O49=""),"",IF(M49+IF(Plan!$C$27="Yes",N49,0)&lt;=O49,"Yes","No"))</f>
        <v/>
      </c>
      <c r="Q49" s="8" t="n"/>
      <c r="R49" s="8" t="n"/>
      <c r="S49" s="9">
        <f>IF(AND(ISNUMBER(Q49),ISNUMBER(R49)),ROUND((Q49-R49)*1440,2),"")</f>
        <v/>
      </c>
      <c r="T49" s="9">
        <f>IF(A49="","",Plan!$C$3)</f>
        <v/>
      </c>
      <c r="U49" s="10">
        <f>IF(OR(S49="",T49=""),"",IF(S49&lt;=T49,"Yes","No"))</f>
        <v/>
      </c>
      <c r="V49" s="2" t="n"/>
      <c r="W49" s="2" t="n"/>
      <c r="X49" s="3" t="n"/>
    </row>
    <row r="50">
      <c r="A50" s="2" t="n"/>
      <c r="B50" s="5" t="n"/>
      <c r="C50" s="2" t="n"/>
      <c r="D50" s="6" t="n"/>
      <c r="E50" s="7" t="n"/>
      <c r="F50" s="2" t="n"/>
      <c r="G50" s="8" t="n"/>
      <c r="H50" s="8" t="n"/>
      <c r="I50" s="7" t="n"/>
      <c r="J50" s="9">
        <f>IF(AND(ISNUMBER(G50),ISNUMBER(H50)),ROUND((H50-G50)*1440,2),"")</f>
        <v/>
      </c>
      <c r="K50" s="8" t="n"/>
      <c r="L50" s="8" t="n"/>
      <c r="M50" s="9">
        <f>IF(AND(ISNUMBER(K50),ISNUMBER(L50)),ROUND((L50-K50)*1440,2),"")</f>
        <v/>
      </c>
      <c r="N50" s="7" t="n"/>
      <c r="O50" s="9">
        <f>IF(A50="","",Plan!$C$2)</f>
        <v/>
      </c>
      <c r="P50" s="10">
        <f>IF(OR(M50="",O50=""),"",IF(M50+IF(Plan!$C$27="Yes",N50,0)&lt;=O50,"Yes","No"))</f>
        <v/>
      </c>
      <c r="Q50" s="8" t="n"/>
      <c r="R50" s="8" t="n"/>
      <c r="S50" s="9">
        <f>IF(AND(ISNUMBER(Q50),ISNUMBER(R50)),ROUND((Q50-R50)*1440,2),"")</f>
        <v/>
      </c>
      <c r="T50" s="9">
        <f>IF(A50="","",Plan!$C$3)</f>
        <v/>
      </c>
      <c r="U50" s="10">
        <f>IF(OR(S50="",T50=""),"",IF(S50&lt;=T50,"Yes","No"))</f>
        <v/>
      </c>
      <c r="V50" s="2" t="n"/>
      <c r="W50" s="2" t="n"/>
      <c r="X50" s="3" t="n"/>
    </row>
    <row r="51">
      <c r="A51" s="2" t="n"/>
      <c r="B51" s="5" t="n"/>
      <c r="C51" s="2" t="n"/>
      <c r="D51" s="6" t="n"/>
      <c r="E51" s="7" t="n"/>
      <c r="F51" s="2" t="n"/>
      <c r="G51" s="8" t="n"/>
      <c r="H51" s="8" t="n"/>
      <c r="I51" s="7" t="n"/>
      <c r="J51" s="9">
        <f>IF(AND(ISNUMBER(G51),ISNUMBER(H51)),ROUND((H51-G51)*1440,2),"")</f>
        <v/>
      </c>
      <c r="K51" s="8" t="n"/>
      <c r="L51" s="8" t="n"/>
      <c r="M51" s="9">
        <f>IF(AND(ISNUMBER(K51),ISNUMBER(L51)),ROUND((L51-K51)*1440,2),"")</f>
        <v/>
      </c>
      <c r="N51" s="7" t="n"/>
      <c r="O51" s="9">
        <f>IF(A51="","",Plan!$C$2)</f>
        <v/>
      </c>
      <c r="P51" s="10">
        <f>IF(OR(M51="",O51=""),"",IF(M51+IF(Plan!$C$27="Yes",N51,0)&lt;=O51,"Yes","No"))</f>
        <v/>
      </c>
      <c r="Q51" s="8" t="n"/>
      <c r="R51" s="8" t="n"/>
      <c r="S51" s="9">
        <f>IF(AND(ISNUMBER(Q51),ISNUMBER(R51)),ROUND((Q51-R51)*1440,2),"")</f>
        <v/>
      </c>
      <c r="T51" s="9">
        <f>IF(A51="","",Plan!$C$3)</f>
        <v/>
      </c>
      <c r="U51" s="10">
        <f>IF(OR(S51="",T51=""),"",IF(S51&lt;=T51,"Yes","No"))</f>
        <v/>
      </c>
      <c r="V51" s="2" t="n"/>
      <c r="W51" s="2" t="n"/>
      <c r="X51" s="3" t="n"/>
    </row>
    <row r="52">
      <c r="A52" s="2" t="n"/>
      <c r="B52" s="5" t="n"/>
      <c r="C52" s="2" t="n"/>
      <c r="D52" s="6" t="n"/>
      <c r="E52" s="7" t="n"/>
      <c r="F52" s="2" t="n"/>
      <c r="G52" s="8" t="n"/>
      <c r="H52" s="8" t="n"/>
      <c r="I52" s="7" t="n"/>
      <c r="J52" s="9">
        <f>IF(AND(ISNUMBER(G52),ISNUMBER(H52)),ROUND((H52-G52)*1440,2),"")</f>
        <v/>
      </c>
      <c r="K52" s="8" t="n"/>
      <c r="L52" s="8" t="n"/>
      <c r="M52" s="9">
        <f>IF(AND(ISNUMBER(K52),ISNUMBER(L52)),ROUND((L52-K52)*1440,2),"")</f>
        <v/>
      </c>
      <c r="N52" s="7" t="n"/>
      <c r="O52" s="9">
        <f>IF(A52="","",Plan!$C$2)</f>
        <v/>
      </c>
      <c r="P52" s="10">
        <f>IF(OR(M52="",O52=""),"",IF(M52+IF(Plan!$C$27="Yes",N52,0)&lt;=O52,"Yes","No"))</f>
        <v/>
      </c>
      <c r="Q52" s="8" t="n"/>
      <c r="R52" s="8" t="n"/>
      <c r="S52" s="9">
        <f>IF(AND(ISNUMBER(Q52),ISNUMBER(R52)),ROUND((Q52-R52)*1440,2),"")</f>
        <v/>
      </c>
      <c r="T52" s="9">
        <f>IF(A52="","",Plan!$C$3)</f>
        <v/>
      </c>
      <c r="U52" s="10">
        <f>IF(OR(S52="",T52=""),"",IF(S52&lt;=T52,"Yes","No"))</f>
        <v/>
      </c>
      <c r="V52" s="2" t="n"/>
      <c r="W52" s="2" t="n"/>
      <c r="X52" s="3" t="n"/>
    </row>
    <row r="53">
      <c r="A53" s="2" t="n"/>
      <c r="B53" s="5" t="n"/>
      <c r="C53" s="2" t="n"/>
      <c r="D53" s="6" t="n"/>
      <c r="E53" s="7" t="n"/>
      <c r="F53" s="2" t="n"/>
      <c r="G53" s="8" t="n"/>
      <c r="H53" s="8" t="n"/>
      <c r="I53" s="7" t="n"/>
      <c r="J53" s="9">
        <f>IF(AND(ISNUMBER(G53),ISNUMBER(H53)),ROUND((H53-G53)*1440,2),"")</f>
        <v/>
      </c>
      <c r="K53" s="8" t="n"/>
      <c r="L53" s="8" t="n"/>
      <c r="M53" s="9">
        <f>IF(AND(ISNUMBER(K53),ISNUMBER(L53)),ROUND((L53-K53)*1440,2),"")</f>
        <v/>
      </c>
      <c r="N53" s="7" t="n"/>
      <c r="O53" s="9">
        <f>IF(A53="","",Plan!$C$2)</f>
        <v/>
      </c>
      <c r="P53" s="10">
        <f>IF(OR(M53="",O53=""),"",IF(M53+IF(Plan!$C$27="Yes",N53,0)&lt;=O53,"Yes","No"))</f>
        <v/>
      </c>
      <c r="Q53" s="8" t="n"/>
      <c r="R53" s="8" t="n"/>
      <c r="S53" s="9">
        <f>IF(AND(ISNUMBER(Q53),ISNUMBER(R53)),ROUND((Q53-R53)*1440,2),"")</f>
        <v/>
      </c>
      <c r="T53" s="9">
        <f>IF(A53="","",Plan!$C$3)</f>
        <v/>
      </c>
      <c r="U53" s="10">
        <f>IF(OR(S53="",T53=""),"",IF(S53&lt;=T53,"Yes","No"))</f>
        <v/>
      </c>
      <c r="V53" s="2" t="n"/>
      <c r="W53" s="2" t="n"/>
      <c r="X53" s="3" t="n"/>
    </row>
    <row r="54">
      <c r="A54" s="2" t="n"/>
      <c r="B54" s="5" t="n"/>
      <c r="C54" s="2" t="n"/>
      <c r="D54" s="6" t="n"/>
      <c r="E54" s="7" t="n"/>
      <c r="F54" s="2" t="n"/>
      <c r="G54" s="8" t="n"/>
      <c r="H54" s="8" t="n"/>
      <c r="I54" s="7" t="n"/>
      <c r="J54" s="9">
        <f>IF(AND(ISNUMBER(G54),ISNUMBER(H54)),ROUND((H54-G54)*1440,2),"")</f>
        <v/>
      </c>
      <c r="K54" s="8" t="n"/>
      <c r="L54" s="8" t="n"/>
      <c r="M54" s="9">
        <f>IF(AND(ISNUMBER(K54),ISNUMBER(L54)),ROUND((L54-K54)*1440,2),"")</f>
        <v/>
      </c>
      <c r="N54" s="7" t="n"/>
      <c r="O54" s="9">
        <f>IF(A54="","",Plan!$C$2)</f>
        <v/>
      </c>
      <c r="P54" s="10">
        <f>IF(OR(M54="",O54=""),"",IF(M54+IF(Plan!$C$27="Yes",N54,0)&lt;=O54,"Yes","No"))</f>
        <v/>
      </c>
      <c r="Q54" s="8" t="n"/>
      <c r="R54" s="8" t="n"/>
      <c r="S54" s="9">
        <f>IF(AND(ISNUMBER(Q54),ISNUMBER(R54)),ROUND((Q54-R54)*1440,2),"")</f>
        <v/>
      </c>
      <c r="T54" s="9">
        <f>IF(A54="","",Plan!$C$3)</f>
        <v/>
      </c>
      <c r="U54" s="10">
        <f>IF(OR(S54="",T54=""),"",IF(S54&lt;=T54,"Yes","No"))</f>
        <v/>
      </c>
      <c r="V54" s="2" t="n"/>
      <c r="W54" s="2" t="n"/>
      <c r="X54" s="3" t="n"/>
    </row>
    <row r="55">
      <c r="A55" s="2" t="n"/>
      <c r="B55" s="5" t="n"/>
      <c r="C55" s="2" t="n"/>
      <c r="D55" s="6" t="n"/>
      <c r="E55" s="7" t="n"/>
      <c r="F55" s="2" t="n"/>
      <c r="G55" s="8" t="n"/>
      <c r="H55" s="8" t="n"/>
      <c r="I55" s="7" t="n"/>
      <c r="J55" s="9">
        <f>IF(AND(ISNUMBER(G55),ISNUMBER(H55)),ROUND((H55-G55)*1440,2),"")</f>
        <v/>
      </c>
      <c r="K55" s="8" t="n"/>
      <c r="L55" s="8" t="n"/>
      <c r="M55" s="9">
        <f>IF(AND(ISNUMBER(K55),ISNUMBER(L55)),ROUND((L55-K55)*1440,2),"")</f>
        <v/>
      </c>
      <c r="N55" s="7" t="n"/>
      <c r="O55" s="9">
        <f>IF(A55="","",Plan!$C$2)</f>
        <v/>
      </c>
      <c r="P55" s="10">
        <f>IF(OR(M55="",O55=""),"",IF(M55+IF(Plan!$C$27="Yes",N55,0)&lt;=O55,"Yes","No"))</f>
        <v/>
      </c>
      <c r="Q55" s="8" t="n"/>
      <c r="R55" s="8" t="n"/>
      <c r="S55" s="9">
        <f>IF(AND(ISNUMBER(Q55),ISNUMBER(R55)),ROUND((Q55-R55)*1440,2),"")</f>
        <v/>
      </c>
      <c r="T55" s="9">
        <f>IF(A55="","",Plan!$C$3)</f>
        <v/>
      </c>
      <c r="U55" s="10">
        <f>IF(OR(S55="",T55=""),"",IF(S55&lt;=T55,"Yes","No"))</f>
        <v/>
      </c>
      <c r="V55" s="2" t="n"/>
      <c r="W55" s="2" t="n"/>
      <c r="X55" s="3" t="n"/>
    </row>
    <row r="56">
      <c r="A56" s="2" t="n"/>
      <c r="B56" s="5" t="n"/>
      <c r="C56" s="2" t="n"/>
      <c r="D56" s="6" t="n"/>
      <c r="E56" s="7" t="n"/>
      <c r="F56" s="2" t="n"/>
      <c r="G56" s="8" t="n"/>
      <c r="H56" s="8" t="n"/>
      <c r="I56" s="7" t="n"/>
      <c r="J56" s="9">
        <f>IF(AND(ISNUMBER(G56),ISNUMBER(H56)),ROUND((H56-G56)*1440,2),"")</f>
        <v/>
      </c>
      <c r="K56" s="8" t="n"/>
      <c r="L56" s="8" t="n"/>
      <c r="M56" s="9">
        <f>IF(AND(ISNUMBER(K56),ISNUMBER(L56)),ROUND((L56-K56)*1440,2),"")</f>
        <v/>
      </c>
      <c r="N56" s="7" t="n"/>
      <c r="O56" s="9">
        <f>IF(A56="","",Plan!$C$2)</f>
        <v/>
      </c>
      <c r="P56" s="10">
        <f>IF(OR(M56="",O56=""),"",IF(M56+IF(Plan!$C$27="Yes",N56,0)&lt;=O56,"Yes","No"))</f>
        <v/>
      </c>
      <c r="Q56" s="8" t="n"/>
      <c r="R56" s="8" t="n"/>
      <c r="S56" s="9">
        <f>IF(AND(ISNUMBER(Q56),ISNUMBER(R56)),ROUND((Q56-R56)*1440,2),"")</f>
        <v/>
      </c>
      <c r="T56" s="9">
        <f>IF(A56="","",Plan!$C$3)</f>
        <v/>
      </c>
      <c r="U56" s="10">
        <f>IF(OR(S56="",T56=""),"",IF(S56&lt;=T56,"Yes","No"))</f>
        <v/>
      </c>
      <c r="V56" s="2" t="n"/>
      <c r="W56" s="2" t="n"/>
      <c r="X56" s="3" t="n"/>
    </row>
    <row r="57">
      <c r="A57" s="2" t="n"/>
      <c r="B57" s="5" t="n"/>
      <c r="C57" s="2" t="n"/>
      <c r="D57" s="6" t="n"/>
      <c r="E57" s="7" t="n"/>
      <c r="F57" s="2" t="n"/>
      <c r="G57" s="8" t="n"/>
      <c r="H57" s="8" t="n"/>
      <c r="I57" s="7" t="n"/>
      <c r="J57" s="9">
        <f>IF(AND(ISNUMBER(G57),ISNUMBER(H57)),ROUND((H57-G57)*1440,2),"")</f>
        <v/>
      </c>
      <c r="K57" s="8" t="n"/>
      <c r="L57" s="8" t="n"/>
      <c r="M57" s="9">
        <f>IF(AND(ISNUMBER(K57),ISNUMBER(L57)),ROUND((L57-K57)*1440,2),"")</f>
        <v/>
      </c>
      <c r="N57" s="7" t="n"/>
      <c r="O57" s="9">
        <f>IF(A57="","",Plan!$C$2)</f>
        <v/>
      </c>
      <c r="P57" s="10">
        <f>IF(OR(M57="",O57=""),"",IF(M57+IF(Plan!$C$27="Yes",N57,0)&lt;=O57,"Yes","No"))</f>
        <v/>
      </c>
      <c r="Q57" s="8" t="n"/>
      <c r="R57" s="8" t="n"/>
      <c r="S57" s="9">
        <f>IF(AND(ISNUMBER(Q57),ISNUMBER(R57)),ROUND((Q57-R57)*1440,2),"")</f>
        <v/>
      </c>
      <c r="T57" s="9">
        <f>IF(A57="","",Plan!$C$3)</f>
        <v/>
      </c>
      <c r="U57" s="10">
        <f>IF(OR(S57="",T57=""),"",IF(S57&lt;=T57,"Yes","No"))</f>
        <v/>
      </c>
      <c r="V57" s="2" t="n"/>
      <c r="W57" s="2" t="n"/>
      <c r="X57" s="3" t="n"/>
    </row>
    <row r="58">
      <c r="A58" s="2" t="n"/>
      <c r="B58" s="5" t="n"/>
      <c r="C58" s="2" t="n"/>
      <c r="D58" s="6" t="n"/>
      <c r="E58" s="7" t="n"/>
      <c r="F58" s="2" t="n"/>
      <c r="G58" s="8" t="n"/>
      <c r="H58" s="8" t="n"/>
      <c r="I58" s="7" t="n"/>
      <c r="J58" s="9">
        <f>IF(AND(ISNUMBER(G58),ISNUMBER(H58)),ROUND((H58-G58)*1440,2),"")</f>
        <v/>
      </c>
      <c r="K58" s="8" t="n"/>
      <c r="L58" s="8" t="n"/>
      <c r="M58" s="9">
        <f>IF(AND(ISNUMBER(K58),ISNUMBER(L58)),ROUND((L58-K58)*1440,2),"")</f>
        <v/>
      </c>
      <c r="N58" s="7" t="n"/>
      <c r="O58" s="9">
        <f>IF(A58="","",Plan!$C$2)</f>
        <v/>
      </c>
      <c r="P58" s="10">
        <f>IF(OR(M58="",O58=""),"",IF(M58+IF(Plan!$C$27="Yes",N58,0)&lt;=O58,"Yes","No"))</f>
        <v/>
      </c>
      <c r="Q58" s="8" t="n"/>
      <c r="R58" s="8" t="n"/>
      <c r="S58" s="9">
        <f>IF(AND(ISNUMBER(Q58),ISNUMBER(R58)),ROUND((Q58-R58)*1440,2),"")</f>
        <v/>
      </c>
      <c r="T58" s="9">
        <f>IF(A58="","",Plan!$C$3)</f>
        <v/>
      </c>
      <c r="U58" s="10">
        <f>IF(OR(S58="",T58=""),"",IF(S58&lt;=T58,"Yes","No"))</f>
        <v/>
      </c>
      <c r="V58" s="2" t="n"/>
      <c r="W58" s="2" t="n"/>
      <c r="X58" s="3" t="n"/>
    </row>
    <row r="59">
      <c r="A59" s="2" t="n"/>
      <c r="B59" s="5" t="n"/>
      <c r="C59" s="2" t="n"/>
      <c r="D59" s="6" t="n"/>
      <c r="E59" s="7" t="n"/>
      <c r="F59" s="2" t="n"/>
      <c r="G59" s="8" t="n"/>
      <c r="H59" s="8" t="n"/>
      <c r="I59" s="7" t="n"/>
      <c r="J59" s="9">
        <f>IF(AND(ISNUMBER(G59),ISNUMBER(H59)),ROUND((H59-G59)*1440,2),"")</f>
        <v/>
      </c>
      <c r="K59" s="8" t="n"/>
      <c r="L59" s="8" t="n"/>
      <c r="M59" s="9">
        <f>IF(AND(ISNUMBER(K59),ISNUMBER(L59)),ROUND((L59-K59)*1440,2),"")</f>
        <v/>
      </c>
      <c r="N59" s="7" t="n"/>
      <c r="O59" s="9">
        <f>IF(A59="","",Plan!$C$2)</f>
        <v/>
      </c>
      <c r="P59" s="10">
        <f>IF(OR(M59="",O59=""),"",IF(M59+IF(Plan!$C$27="Yes",N59,0)&lt;=O59,"Yes","No"))</f>
        <v/>
      </c>
      <c r="Q59" s="8" t="n"/>
      <c r="R59" s="8" t="n"/>
      <c r="S59" s="9">
        <f>IF(AND(ISNUMBER(Q59),ISNUMBER(R59)),ROUND((Q59-R59)*1440,2),"")</f>
        <v/>
      </c>
      <c r="T59" s="9">
        <f>IF(A59="","",Plan!$C$3)</f>
        <v/>
      </c>
      <c r="U59" s="10">
        <f>IF(OR(S59="",T59=""),"",IF(S59&lt;=T59,"Yes","No"))</f>
        <v/>
      </c>
      <c r="V59" s="2" t="n"/>
      <c r="W59" s="2" t="n"/>
      <c r="X59" s="3" t="n"/>
    </row>
    <row r="60">
      <c r="A60" s="2" t="n"/>
      <c r="B60" s="5" t="n"/>
      <c r="C60" s="2" t="n"/>
      <c r="D60" s="6" t="n"/>
      <c r="E60" s="7" t="n"/>
      <c r="F60" s="2" t="n"/>
      <c r="G60" s="8" t="n"/>
      <c r="H60" s="8" t="n"/>
      <c r="I60" s="7" t="n"/>
      <c r="J60" s="9">
        <f>IF(AND(ISNUMBER(G60),ISNUMBER(H60)),ROUND((H60-G60)*1440,2),"")</f>
        <v/>
      </c>
      <c r="K60" s="8" t="n"/>
      <c r="L60" s="8" t="n"/>
      <c r="M60" s="9">
        <f>IF(AND(ISNUMBER(K60),ISNUMBER(L60)),ROUND((L60-K60)*1440,2),"")</f>
        <v/>
      </c>
      <c r="N60" s="7" t="n"/>
      <c r="O60" s="9">
        <f>IF(A60="","",Plan!$C$2)</f>
        <v/>
      </c>
      <c r="P60" s="10">
        <f>IF(OR(M60="",O60=""),"",IF(M60+IF(Plan!$C$27="Yes",N60,0)&lt;=O60,"Yes","No"))</f>
        <v/>
      </c>
      <c r="Q60" s="8" t="n"/>
      <c r="R60" s="8" t="n"/>
      <c r="S60" s="9">
        <f>IF(AND(ISNUMBER(Q60),ISNUMBER(R60)),ROUND((Q60-R60)*1440,2),"")</f>
        <v/>
      </c>
      <c r="T60" s="9">
        <f>IF(A60="","",Plan!$C$3)</f>
        <v/>
      </c>
      <c r="U60" s="10">
        <f>IF(OR(S60="",T60=""),"",IF(S60&lt;=T60,"Yes","No"))</f>
        <v/>
      </c>
      <c r="V60" s="2" t="n"/>
      <c r="W60" s="2" t="n"/>
      <c r="X60" s="3" t="n"/>
    </row>
    <row r="61">
      <c r="A61" s="2" t="n"/>
      <c r="B61" s="5" t="n"/>
      <c r="C61" s="2" t="n"/>
      <c r="D61" s="6" t="n"/>
      <c r="E61" s="7" t="n"/>
      <c r="F61" s="2" t="n"/>
      <c r="G61" s="8" t="n"/>
      <c r="H61" s="8" t="n"/>
      <c r="I61" s="7" t="n"/>
      <c r="J61" s="9">
        <f>IF(AND(ISNUMBER(G61),ISNUMBER(H61)),ROUND((H61-G61)*1440,2),"")</f>
        <v/>
      </c>
      <c r="K61" s="8" t="n"/>
      <c r="L61" s="8" t="n"/>
      <c r="M61" s="9">
        <f>IF(AND(ISNUMBER(K61),ISNUMBER(L61)),ROUND((L61-K61)*1440,2),"")</f>
        <v/>
      </c>
      <c r="N61" s="7" t="n"/>
      <c r="O61" s="9">
        <f>IF(A61="","",Plan!$C$2)</f>
        <v/>
      </c>
      <c r="P61" s="10">
        <f>IF(OR(M61="",O61=""),"",IF(M61+IF(Plan!$C$27="Yes",N61,0)&lt;=O61,"Yes","No"))</f>
        <v/>
      </c>
      <c r="Q61" s="8" t="n"/>
      <c r="R61" s="8" t="n"/>
      <c r="S61" s="9">
        <f>IF(AND(ISNUMBER(Q61),ISNUMBER(R61)),ROUND((Q61-R61)*1440,2),"")</f>
        <v/>
      </c>
      <c r="T61" s="9">
        <f>IF(A61="","",Plan!$C$3)</f>
        <v/>
      </c>
      <c r="U61" s="10">
        <f>IF(OR(S61="",T61=""),"",IF(S61&lt;=T61,"Yes","No"))</f>
        <v/>
      </c>
      <c r="V61" s="2" t="n"/>
      <c r="W61" s="2" t="n"/>
      <c r="X61" s="3" t="n"/>
    </row>
  </sheetData>
  <autoFilter ref="A1:X61"/>
  <conditionalFormatting sqref="P2:P61">
    <cfRule type="expression" priority="1" dxfId="0">
      <formula>P2="Yes"</formula>
    </cfRule>
    <cfRule type="expression" priority="2" dxfId="1">
      <formula>P2="No"</formula>
    </cfRule>
  </conditionalFormatting>
  <conditionalFormatting sqref="U2:U61">
    <cfRule type="expression" priority="3" dxfId="0">
      <formula>U2="Yes"</formula>
    </cfRule>
    <cfRule type="expression" priority="4" dxfId="1">
      <formula>U2="No"</formula>
    </cfRule>
  </conditionalFormatting>
  <conditionalFormatting sqref="V2:V61">
    <cfRule type="expression" priority="5" dxfId="0">
      <formula>V2="Pass"</formula>
    </cfRule>
    <cfRule type="expression" priority="6" dxfId="2">
      <formula>V2="Pass with notes"</formula>
    </cfRule>
    <cfRule type="expression" priority="7" dxfId="1">
      <formula>V2="Fail"</formula>
    </cfRule>
  </conditionalFormatting>
  <dataValidations count="14">
    <dataValidation sqref="C2:C561" showDropDown="0" showInputMessage="0" showErrorMessage="0" allowBlank="1" type="list">
      <formula1>"laptop-1M-seed,laptop-sample,staging,prod-dr-drill"</formula1>
    </dataValidation>
    <dataValidation sqref="F2:F561" showDropDown="0" showInputMessage="0" showErrorMessage="0" allowBlank="1" type="list">
      <formula1>"full,incremental,full+incremental,PITR restore,table restore,cluster full"</formula1>
    </dataValidation>
    <dataValidation sqref="V2:V561" showDropDown="0" showInputMessage="0" showErrorMessage="0" allowBlank="1" type="list">
      <formula1>"Pass,Pass with notes,Fail,Not run"</formula1>
    </dataValidation>
    <dataValidation sqref="B2:B61" showDropDown="0" showInputMessage="0" showErrorMessage="1" allowBlank="1" errorTitle="Date expected" error="Enter a valid date/time" type="date" operator="greaterThan">
      <formula1>36526</formula1>
    </dataValidation>
    <dataValidation sqref="G2:G61" showDropDown="0" showInputMessage="0" showErrorMessage="1" allowBlank="1" errorTitle="Date expected" error="Enter a valid date/time" type="date" operator="greaterThan">
      <formula1>36526</formula1>
    </dataValidation>
    <dataValidation sqref="H2:H61" showDropDown="0" showInputMessage="0" showErrorMessage="1" allowBlank="1" errorTitle="Date expected" error="Enter a valid date/time" type="date" operator="greaterThan">
      <formula1>36526</formula1>
    </dataValidation>
    <dataValidation sqref="K2:K61" showDropDown="0" showInputMessage="0" showErrorMessage="1" allowBlank="1" errorTitle="Date expected" error="Enter a valid date/time" type="date" operator="greaterThan">
      <formula1>36526</formula1>
    </dataValidation>
    <dataValidation sqref="L2:L61" showDropDown="0" showInputMessage="0" showErrorMessage="1" allowBlank="1" errorTitle="Date expected" error="Enter a valid date/time" type="date" operator="greaterThan">
      <formula1>36526</formula1>
    </dataValidation>
    <dataValidation sqref="Q2:Q61" showDropDown="0" showInputMessage="0" showErrorMessage="1" allowBlank="1" errorTitle="Date expected" error="Enter a valid date/time" type="date" operator="greaterThan">
      <formula1>36526</formula1>
    </dataValidation>
    <dataValidation sqref="R2:R61" showDropDown="0" showInputMessage="0" showErrorMessage="1" allowBlank="1" errorTitle="Date expected" error="Enter a valid date/time" type="date" operator="greaterThan">
      <formula1>36526</formula1>
    </dataValidation>
    <dataValidation sqref="D2:D61" showDropDown="0" showInputMessage="0" showErrorMessage="1" allowBlank="1" error="Enter a number &gt;= 0" type="decimal" operator="greaterThanOrEqual">
      <formula1>0</formula1>
    </dataValidation>
    <dataValidation sqref="E2:E61" showDropDown="0" showInputMessage="0" showErrorMessage="1" allowBlank="1" error="Enter a number &gt;= 0" type="decimal" operator="greaterThanOrEqual">
      <formula1>0</formula1>
    </dataValidation>
    <dataValidation sqref="I2:I61" showDropDown="0" showInputMessage="0" showErrorMessage="1" allowBlank="1" error="Enter a number &gt;= 0" type="decimal" operator="greaterThanOrEqual">
      <formula1>0</formula1>
    </dataValidation>
    <dataValidation sqref="N2:N61" showDropDown="0" showInputMessage="0" showErrorMessage="1" allowBlank="1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0" customWidth="1" min="3" max="3"/>
    <col width="120" customWidth="1" min="4" max="4"/>
    <col width="50" customWidth="1" min="5" max="5"/>
    <col width="9" customWidth="1" min="6" max="6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check</t>
        </is>
      </c>
      <c r="D1" s="1" t="inlineStr">
        <is>
          <t>SQL / action</t>
        </is>
      </c>
      <c r="E1" s="1" t="inlineStr">
        <is>
          <t>expected</t>
        </is>
      </c>
      <c r="F1" s="1" t="inlineStr">
        <is>
          <t>severity</t>
        </is>
      </c>
    </row>
    <row r="2">
      <c r="A2" s="2" t="inlineStr">
        <is>
          <t>V-01</t>
        </is>
      </c>
      <c r="B2" s="2" t="inlineStr">
        <is>
          <t>Schema</t>
        </is>
      </c>
      <c r="C2" s="3" t="inlineStr">
        <is>
          <t>Table count identical</t>
        </is>
      </c>
      <c r="D2" s="3" t="inlineStr">
        <is>
          <t>SELECT count(*) FROM information_schema.tables WHERE table_schema = 'public' AND table_type = 'BASE TABLE';</t>
        </is>
      </c>
      <c r="E2" s="3">
        <f> source (1306 tables in the model)</f>
        <v/>
      </c>
      <c r="F2" s="2" t="inlineStr">
        <is>
          <t>High</t>
        </is>
      </c>
    </row>
    <row r="3">
      <c r="A3" s="2" t="inlineStr">
        <is>
          <t>V-02</t>
        </is>
      </c>
      <c r="B3" s="2" t="inlineStr">
        <is>
          <t>Schema</t>
        </is>
      </c>
      <c r="C3" s="3" t="inlineStr">
        <is>
          <t>View count identical</t>
        </is>
      </c>
      <c r="D3" s="3" t="inlineStr">
        <is>
          <t>SELECT count(*) FROM information_schema.views WHERE table_schema = 'public';</t>
        </is>
      </c>
      <c r="E3" s="3">
        <f> source</f>
        <v/>
      </c>
      <c r="F3" s="2" t="inlineStr">
        <is>
          <t>High</t>
        </is>
      </c>
    </row>
    <row r="4">
      <c r="A4" s="2" t="inlineStr">
        <is>
          <t>V-03</t>
        </is>
      </c>
      <c r="B4" s="2" t="inlineStr">
        <is>
          <t>Schema</t>
        </is>
      </c>
      <c r="C4" s="3" t="inlineStr">
        <is>
          <t>Constraint inventory identical</t>
        </is>
      </c>
      <c r="D4" s="3" t="inlineStr">
        <is>
          <t>SELECT constraint_type, count(*) FROM information_schema.table_constraints WHERE table_schema = 'public' GROUP BY 1 ORDER BY 1;</t>
        </is>
      </c>
      <c r="E4" s="3">
        <f> source for every type</f>
        <v/>
      </c>
      <c r="F4" s="2" t="inlineStr">
        <is>
          <t>High</t>
        </is>
      </c>
    </row>
    <row r="5">
      <c r="A5" s="2" t="inlineStr">
        <is>
          <t>V-04</t>
        </is>
      </c>
      <c r="B5" s="2" t="inlineStr">
        <is>
          <t>Schema</t>
        </is>
      </c>
      <c r="C5" s="3" t="inlineStr">
        <is>
          <t>Index inventory identical</t>
        </is>
      </c>
      <c r="D5" s="3" t="inlineStr">
        <is>
          <t>SELECT count(*) FROM information_schema.statistics WHERE table_schema = 'public';</t>
        </is>
      </c>
      <c r="E5" s="3">
        <f> source</f>
        <v/>
      </c>
      <c r="F5" s="2" t="inlineStr">
        <is>
          <t>Medium</t>
        </is>
      </c>
    </row>
    <row r="6">
      <c r="A6" s="2" t="inlineStr">
        <is>
          <t>V-05</t>
        </is>
      </c>
      <c r="B6" s="2" t="inlineStr">
        <is>
          <t>Schema</t>
        </is>
      </c>
      <c r="C6" s="3" t="inlineStr">
        <is>
          <t>Foreign keys valid</t>
        </is>
      </c>
      <c r="D6" s="3" t="inlineStr">
        <is>
          <t>SELECT conname, conrelid::REGCLASS FROM pg_catalog.pg_constraint WHERE contype = 'f' AND NOT convalidated;</t>
        </is>
      </c>
      <c r="E6" s="3" t="inlineStr">
        <is>
          <t>0 rows</t>
        </is>
      </c>
      <c r="F6" s="2" t="inlineStr">
        <is>
          <t>High</t>
        </is>
      </c>
    </row>
    <row r="7">
      <c r="A7" s="2" t="inlineStr">
        <is>
          <t>V-06</t>
        </is>
      </c>
      <c r="B7" s="2" t="inlineStr">
        <is>
          <t>Security</t>
        </is>
      </c>
      <c r="C7" s="3" t="inlineStr">
        <is>
          <t>Roles identical</t>
        </is>
      </c>
      <c r="D7" s="3" t="inlineStr">
        <is>
          <t>SELECT username, member_of FROM [SHOW USERS] ORDER BY 1;</t>
        </is>
      </c>
      <c r="E7" s="3">
        <f> source minus drill-excluded logins</f>
        <v/>
      </c>
      <c r="F7" s="2" t="inlineStr">
        <is>
          <t>High</t>
        </is>
      </c>
    </row>
    <row r="8">
      <c r="A8" s="2" t="inlineStr">
        <is>
          <t>V-07</t>
        </is>
      </c>
      <c r="B8" s="2" t="inlineStr">
        <is>
          <t>Security</t>
        </is>
      </c>
      <c r="C8" s="3" t="inlineStr">
        <is>
          <t>Grants identical on audit/ledger tables</t>
        </is>
      </c>
      <c r="D8" s="3" t="inlineStr">
        <is>
          <t>SHOW GRANTS ON TABLE audit_event, wallet_ledger_entry, profile_download, login_attempt;</t>
        </is>
      </c>
      <c r="E8" s="3" t="inlineStr">
        <is>
          <t>no UPDATE/DELETE for any grantee (13_rbac_matrix, AT-09)</t>
        </is>
      </c>
      <c r="F8" s="2" t="inlineStr">
        <is>
          <t>High</t>
        </is>
      </c>
    </row>
    <row r="9">
      <c r="A9" s="2" t="inlineStr">
        <is>
          <t>V-08</t>
        </is>
      </c>
      <c r="B9" s="2" t="inlineStr">
        <is>
          <t>Security</t>
        </is>
      </c>
      <c r="C9" s="3" t="inlineStr">
        <is>
          <t>No grants for PUBLIC on data tables</t>
        </is>
      </c>
      <c r="D9" s="3" t="inlineStr">
        <is>
          <t>SELECT table_name, privilege_type FROM information_schema.table_privileges WHERE grantee = 'public' AND table_schema = 'public';</t>
        </is>
      </c>
      <c r="E9" s="3" t="inlineStr">
        <is>
          <t>0 rows</t>
        </is>
      </c>
      <c r="F9" s="2" t="inlineStr">
        <is>
          <t>High</t>
        </is>
      </c>
    </row>
    <row r="10">
      <c r="A10" s="2" t="inlineStr">
        <is>
          <t>V-09</t>
        </is>
      </c>
      <c r="B10" s="2" t="inlineStr">
        <is>
          <t>Row count + checksum</t>
        </is>
      </c>
      <c r="C10" s="3" t="inlineStr">
        <is>
          <t>app_user: count and id checksum equal to source at the backup time</t>
        </is>
      </c>
      <c r="D10" s="3" t="inlineStr">
        <is>
          <t>SELECT count(*) AS n, sum(crc32c(id::STRING)) AS chk FROM app_user;   -- source: add AS OF SYSTEM TIME '&lt;backup AS OF time&gt;'</t>
        </is>
      </c>
      <c r="E10" s="3" t="inlineStr">
        <is>
          <t>n and chk equal</t>
        </is>
      </c>
      <c r="F10" s="2" t="inlineStr">
        <is>
          <t>High</t>
        </is>
      </c>
    </row>
    <row r="11">
      <c r="A11" s="2" t="inlineStr">
        <is>
          <t>V-10</t>
        </is>
      </c>
      <c r="B11" s="2" t="inlineStr">
        <is>
          <t>Row count + checksum</t>
        </is>
      </c>
      <c r="C11" s="3" t="inlineStr">
        <is>
          <t>candidate_profile: count and id checksum equal to source at the backup time</t>
        </is>
      </c>
      <c r="D11" s="3" t="inlineStr">
        <is>
          <t>SELECT count(*) AS n, sum(crc32c(id::STRING)) AS chk FROM candidate_profile;   -- source: add AS OF SYSTEM TIME '&lt;backup AS OF time&gt;'</t>
        </is>
      </c>
      <c r="E11" s="3" t="inlineStr">
        <is>
          <t>n and chk equal</t>
        </is>
      </c>
      <c r="F11" s="2" t="inlineStr">
        <is>
          <t>High</t>
        </is>
      </c>
    </row>
    <row r="12">
      <c r="A12" s="2" t="inlineStr">
        <is>
          <t>V-11</t>
        </is>
      </c>
      <c r="B12" s="2" t="inlineStr">
        <is>
          <t>Row count + checksum</t>
        </is>
      </c>
      <c r="C12" s="3" t="inlineStr">
        <is>
          <t>job_requirement: count and id checksum equal to source at the backup time</t>
        </is>
      </c>
      <c r="D12" s="3" t="inlineStr">
        <is>
          <t>SELECT count(*) AS n, sum(crc32c(id::STRING)) AS chk FROM job_requirement;   -- source: add AS OF SYSTEM TIME '&lt;backup AS OF time&gt;'</t>
        </is>
      </c>
      <c r="E12" s="3" t="inlineStr">
        <is>
          <t>n and chk equal</t>
        </is>
      </c>
      <c r="F12" s="2" t="inlineStr">
        <is>
          <t>High</t>
        </is>
      </c>
    </row>
    <row r="13">
      <c r="A13" s="2" t="inlineStr">
        <is>
          <t>V-12</t>
        </is>
      </c>
      <c r="B13" s="2" t="inlineStr">
        <is>
          <t>Row count + checksum</t>
        </is>
      </c>
      <c r="C13" s="3" t="inlineStr">
        <is>
          <t>job_application: count and id checksum equal to source at the backup time</t>
        </is>
      </c>
      <c r="D13" s="3" t="inlineStr">
        <is>
          <t>SELECT count(*) AS n, sum(crc32c(id::STRING)) AS chk FROM job_application;   -- source: add AS OF SYSTEM TIME '&lt;backup AS OF time&gt;'</t>
        </is>
      </c>
      <c r="E13" s="3" t="inlineStr">
        <is>
          <t>n and chk equal</t>
        </is>
      </c>
      <c r="F13" s="2" t="inlineStr">
        <is>
          <t>High</t>
        </is>
      </c>
    </row>
    <row r="14">
      <c r="A14" s="2" t="inlineStr">
        <is>
          <t>V-13</t>
        </is>
      </c>
      <c r="B14" s="2" t="inlineStr">
        <is>
          <t>Row count + checksum</t>
        </is>
      </c>
      <c r="C14" s="3" t="inlineStr">
        <is>
          <t>organisation: count and id checksum equal to source at the backup time</t>
        </is>
      </c>
      <c r="D14" s="3" t="inlineStr">
        <is>
          <t>SELECT count(*) AS n, sum(crc32c(id::STRING)) AS chk FROM organisation;   -- source: add AS OF SYSTEM TIME '&lt;backup AS OF time&gt;'</t>
        </is>
      </c>
      <c r="E14" s="3" t="inlineStr">
        <is>
          <t>n and chk equal</t>
        </is>
      </c>
      <c r="F14" s="2" t="inlineStr">
        <is>
          <t>High</t>
        </is>
      </c>
    </row>
    <row r="15">
      <c r="A15" s="2" t="inlineStr">
        <is>
          <t>V-14</t>
        </is>
      </c>
      <c r="B15" s="2" t="inlineStr">
        <is>
          <t>Row count + checksum</t>
        </is>
      </c>
      <c r="C15" s="3" t="inlineStr">
        <is>
          <t>wallet: count and id checksum equal to source at the backup time</t>
        </is>
      </c>
      <c r="D15" s="3" t="inlineStr">
        <is>
          <t>SELECT count(*) AS n, sum(crc32c(id::STRING)) AS chk FROM wallet;   -- source: add AS OF SYSTEM TIME '&lt;backup AS OF time&gt;'</t>
        </is>
      </c>
      <c r="E15" s="3" t="inlineStr">
        <is>
          <t>n and chk equal</t>
        </is>
      </c>
      <c r="F15" s="2" t="inlineStr">
        <is>
          <t>High</t>
        </is>
      </c>
    </row>
    <row r="16">
      <c r="A16" s="2" t="inlineStr">
        <is>
          <t>V-15</t>
        </is>
      </c>
      <c r="B16" s="2" t="inlineStr">
        <is>
          <t>Row count + checksum</t>
        </is>
      </c>
      <c r="C16" s="3" t="inlineStr">
        <is>
          <t>wallet_ledger_entry: count and id checksum equal to source at the backup time</t>
        </is>
      </c>
      <c r="D16" s="3" t="inlineStr">
        <is>
          <t>SELECT count(*) AS n, sum(crc32c(id::STRING)) AS chk FROM wallet_ledger_entry;   -- source: add AS OF SYSTEM TIME '&lt;backup AS OF time&gt;'</t>
        </is>
      </c>
      <c r="E16" s="3" t="inlineStr">
        <is>
          <t>n and chk equal</t>
        </is>
      </c>
      <c r="F16" s="2" t="inlineStr">
        <is>
          <t>High</t>
        </is>
      </c>
    </row>
    <row r="17">
      <c r="A17" s="2" t="inlineStr">
        <is>
          <t>V-16</t>
        </is>
      </c>
      <c r="B17" s="2" t="inlineStr">
        <is>
          <t>Row count + checksum</t>
        </is>
      </c>
      <c r="C17" s="3" t="inlineStr">
        <is>
          <t>payment_order: count and id checksum equal to source at the backup time</t>
        </is>
      </c>
      <c r="D17" s="3" t="inlineStr">
        <is>
          <t>SELECT count(*) AS n, sum(crc32c(id::STRING)) AS chk FROM payment_order;   -- source: add AS OF SYSTEM TIME '&lt;backup AS OF time&gt;'</t>
        </is>
      </c>
      <c r="E17" s="3" t="inlineStr">
        <is>
          <t>n and chk equal</t>
        </is>
      </c>
      <c r="F17" s="2" t="inlineStr">
        <is>
          <t>High</t>
        </is>
      </c>
    </row>
    <row r="18">
      <c r="A18" s="2" t="inlineStr">
        <is>
          <t>V-17</t>
        </is>
      </c>
      <c r="B18" s="2" t="inlineStr">
        <is>
          <t>Row count + checksum</t>
        </is>
      </c>
      <c r="C18" s="3" t="inlineStr">
        <is>
          <t>profile_download: count and id checksum equal to source at the backup time</t>
        </is>
      </c>
      <c r="D18" s="3" t="inlineStr">
        <is>
          <t>SELECT count(*) AS n, sum(crc32c(id::STRING)) AS chk FROM profile_download;   -- source: add AS OF SYSTEM TIME '&lt;backup AS OF time&gt;'</t>
        </is>
      </c>
      <c r="E18" s="3" t="inlineStr">
        <is>
          <t>n and chk equal</t>
        </is>
      </c>
      <c r="F18" s="2" t="inlineStr">
        <is>
          <t>High</t>
        </is>
      </c>
    </row>
    <row r="19">
      <c r="A19" s="2" t="inlineStr">
        <is>
          <t>V-18</t>
        </is>
      </c>
      <c r="B19" s="2" t="inlineStr">
        <is>
          <t>Row count + checksum</t>
        </is>
      </c>
      <c r="C19" s="3" t="inlineStr">
        <is>
          <t>audit_event: count and id checksum equal to source at the backup time</t>
        </is>
      </c>
      <c r="D19" s="3" t="inlineStr">
        <is>
          <t>SELECT count(*) AS n, sum(crc32c(id::STRING)) AS chk FROM audit_event;   -- source: add AS OF SYSTEM TIME '&lt;backup AS OF time&gt;'</t>
        </is>
      </c>
      <c r="E19" s="3" t="inlineStr">
        <is>
          <t>n and chk equal</t>
        </is>
      </c>
      <c r="F19" s="2" t="inlineStr">
        <is>
          <t>High</t>
        </is>
      </c>
    </row>
    <row r="20">
      <c r="A20" s="2" t="inlineStr">
        <is>
          <t>V-19</t>
        </is>
      </c>
      <c r="B20" s="2" t="inlineStr">
        <is>
          <t>Row count + checksum</t>
        </is>
      </c>
      <c r="C20" s="3" t="inlineStr">
        <is>
          <t>audit_chain_head: count and id checksum equal to source at the backup time</t>
        </is>
      </c>
      <c r="D20" s="3" t="inlineStr">
        <is>
          <t>SELECT count(*) AS n, sum(crc32c(id::STRING)) AS chk FROM audit_chain_head;   -- source: add AS OF SYSTEM TIME '&lt;backup AS OF time&gt;'</t>
        </is>
      </c>
      <c r="E20" s="3" t="inlineStr">
        <is>
          <t>n and chk equal</t>
        </is>
      </c>
      <c r="F20" s="2" t="inlineStr">
        <is>
          <t>High</t>
        </is>
      </c>
    </row>
    <row r="21">
      <c r="A21" s="2" t="inlineStr">
        <is>
          <t>V-20</t>
        </is>
      </c>
      <c r="B21" s="2" t="inlineStr">
        <is>
          <t>Row count + checksum</t>
        </is>
      </c>
      <c r="C21" s="3" t="inlineStr">
        <is>
          <t>licence: count and id checksum equal to source at the backup time</t>
        </is>
      </c>
      <c r="D21" s="3" t="inlineStr">
        <is>
          <t>SELECT count(*) AS n, sum(crc32c(id::STRING)) AS chk FROM licence;   -- source: add AS OF SYSTEM TIME '&lt;backup AS OF time&gt;'</t>
        </is>
      </c>
      <c r="E21" s="3" t="inlineStr">
        <is>
          <t>n and chk equal</t>
        </is>
      </c>
      <c r="F21" s="2" t="inlineStr">
        <is>
          <t>High</t>
        </is>
      </c>
    </row>
    <row r="22">
      <c r="A22" s="2" t="inlineStr">
        <is>
          <t>V-21</t>
        </is>
      </c>
      <c r="B22" s="2" t="inlineStr">
        <is>
          <t>Row count + checksum</t>
        </is>
      </c>
      <c r="C22" s="3" t="inlineStr">
        <is>
          <t>licence_seat: count and id checksum equal to source at the backup time</t>
        </is>
      </c>
      <c r="D22" s="3" t="inlineStr">
        <is>
          <t>SELECT count(*) AS n, sum(crc32c(id::STRING)) AS chk FROM licence_seat;   -- source: add AS OF SYSTEM TIME '&lt;backup AS OF time&gt;'</t>
        </is>
      </c>
      <c r="E22" s="3" t="inlineStr">
        <is>
          <t>n and chk equal</t>
        </is>
      </c>
      <c r="F22" s="2" t="inlineStr">
        <is>
          <t>High</t>
        </is>
      </c>
    </row>
    <row r="23">
      <c r="A23" s="2" t="inlineStr">
        <is>
          <t>V-22</t>
        </is>
      </c>
      <c r="B23" s="2" t="inlineStr">
        <is>
          <t>Row count + checksum</t>
        </is>
      </c>
      <c r="C23" s="3" t="inlineStr">
        <is>
          <t>device_session: count and id checksum equal to source at the backup time</t>
        </is>
      </c>
      <c r="D23" s="3" t="inlineStr">
        <is>
          <t>SELECT count(*) AS n, sum(crc32c(id::STRING)) AS chk FROM device_session;   -- source: add AS OF SYSTEM TIME '&lt;backup AS OF time&gt;'</t>
        </is>
      </c>
      <c r="E23" s="3" t="inlineStr">
        <is>
          <t>n and chk equal</t>
        </is>
      </c>
      <c r="F23" s="2" t="inlineStr">
        <is>
          <t>High</t>
        </is>
      </c>
    </row>
    <row r="24">
      <c r="A24" s="2" t="inlineStr">
        <is>
          <t>V-23</t>
        </is>
      </c>
      <c r="B24" s="2" t="inlineStr">
        <is>
          <t>Row count + checksum</t>
        </is>
      </c>
      <c r="C24" s="3" t="inlineStr">
        <is>
          <t>login_attempt: count and id checksum equal to source at the backup time</t>
        </is>
      </c>
      <c r="D24" s="3" t="inlineStr">
        <is>
          <t>SELECT count(*) AS n, sum(crc32c(id::STRING)) AS chk FROM login_attempt;   -- source: add AS OF SYSTEM TIME '&lt;backup AS OF time&gt;'</t>
        </is>
      </c>
      <c r="E24" s="3" t="inlineStr">
        <is>
          <t>n and chk equal</t>
        </is>
      </c>
      <c r="F24" s="2" t="inlineStr">
        <is>
          <t>High</t>
        </is>
      </c>
    </row>
    <row r="25">
      <c r="A25" s="2" t="inlineStr">
        <is>
          <t>V-24</t>
        </is>
      </c>
      <c r="B25" s="2" t="inlineStr">
        <is>
          <t>Row count + checksum</t>
        </is>
      </c>
      <c r="C25" s="3" t="inlineStr">
        <is>
          <t>notification: count and id checksum equal to source at the backup time</t>
        </is>
      </c>
      <c r="D25" s="3" t="inlineStr">
        <is>
          <t>SELECT count(*) AS n, sum(crc32c(id::STRING)) AS chk FROM notification;   -- source: add AS OF SYSTEM TIME '&lt;backup AS OF time&gt;'</t>
        </is>
      </c>
      <c r="E25" s="3" t="inlineStr">
        <is>
          <t>n and chk equal</t>
        </is>
      </c>
      <c r="F25" s="2" t="inlineStr">
        <is>
          <t>High</t>
        </is>
      </c>
    </row>
    <row r="26">
      <c r="A26" s="2" t="inlineStr">
        <is>
          <t>V-25</t>
        </is>
      </c>
      <c r="B26" s="2" t="inlineStr">
        <is>
          <t>Row count + checksum</t>
        </is>
      </c>
      <c r="C26" s="3" t="inlineStr">
        <is>
          <t>notification_delivery: count and id checksum equal to source at the backup time</t>
        </is>
      </c>
      <c r="D26" s="3" t="inlineStr">
        <is>
          <t>SELECT count(*) AS n, sum(crc32c(id::STRING)) AS chk FROM notification_delivery;   -- source: add AS OF SYSTEM TIME '&lt;backup AS OF time&gt;'</t>
        </is>
      </c>
      <c r="E26" s="3" t="inlineStr">
        <is>
          <t>n and chk equal</t>
        </is>
      </c>
      <c r="F26" s="2" t="inlineStr">
        <is>
          <t>High</t>
        </is>
      </c>
    </row>
    <row r="27">
      <c r="A27" s="2" t="inlineStr">
        <is>
          <t>V-26</t>
        </is>
      </c>
      <c r="B27" s="2" t="inlineStr">
        <is>
          <t>Row count + checksum</t>
        </is>
      </c>
      <c r="C27" s="3" t="inlineStr">
        <is>
          <t>user_block: count and id checksum equal to source at the backup time</t>
        </is>
      </c>
      <c r="D27" s="3" t="inlineStr">
        <is>
          <t>SELECT count(*) AS n, sum(crc32c(id::STRING)) AS chk FROM user_block;   -- source: add AS OF SYSTEM TIME '&lt;backup AS OF time&gt;'</t>
        </is>
      </c>
      <c r="E27" s="3" t="inlineStr">
        <is>
          <t>n and chk equal</t>
        </is>
      </c>
      <c r="F27" s="2" t="inlineStr">
        <is>
          <t>High</t>
        </is>
      </c>
    </row>
    <row r="28">
      <c r="A28" s="2" t="inlineStr">
        <is>
          <t>V-27</t>
        </is>
      </c>
      <c r="B28" s="2" t="inlineStr">
        <is>
          <t>Row count + checksum</t>
        </is>
      </c>
      <c r="C28" s="3" t="inlineStr">
        <is>
          <t>user_consent: count and id checksum equal to source at the backup time</t>
        </is>
      </c>
      <c r="D28" s="3" t="inlineStr">
        <is>
          <t>SELECT count(*) AS n, sum(crc32c(id::STRING)) AS chk FROM user_consent;   -- source: add AS OF SYSTEM TIME '&lt;backup AS OF time&gt;'</t>
        </is>
      </c>
      <c r="E28" s="3" t="inlineStr">
        <is>
          <t>n and chk equal</t>
        </is>
      </c>
      <c r="F28" s="2" t="inlineStr">
        <is>
          <t>High</t>
        </is>
      </c>
    </row>
    <row r="29">
      <c r="A29" s="2" t="inlineStr">
        <is>
          <t>V-28</t>
        </is>
      </c>
      <c r="B29" s="2" t="inlineStr">
        <is>
          <t>Row count + checksum</t>
        </is>
      </c>
      <c r="C29" s="3" t="inlineStr">
        <is>
          <t>user_credential: count and id checksum equal to source at the backup time</t>
        </is>
      </c>
      <c r="D29" s="3" t="inlineStr">
        <is>
          <t>SELECT count(*) AS n, sum(crc32c(id::STRING)) AS chk FROM user_credential;   -- source: add AS OF SYSTEM TIME '&lt;backup AS OF time&gt;'</t>
        </is>
      </c>
      <c r="E29" s="3" t="inlineStr">
        <is>
          <t>n and chk equal</t>
        </is>
      </c>
      <c r="F29" s="2" t="inlineStr">
        <is>
          <t>Medium</t>
        </is>
      </c>
    </row>
    <row r="30">
      <c r="A30" s="2" t="inlineStr">
        <is>
          <t>V-29</t>
        </is>
      </c>
      <c r="B30" s="2" t="inlineStr">
        <is>
          <t>Row count + checksum</t>
        </is>
      </c>
      <c r="C30" s="3" t="inlineStr">
        <is>
          <t>user_credential_history: count and id checksum equal to source at the backup time</t>
        </is>
      </c>
      <c r="D30" s="3" t="inlineStr">
        <is>
          <t>SELECT count(*) AS n, sum(crc32c(id::STRING)) AS chk FROM user_credential_history;   -- source: add AS OF SYSTEM TIME '&lt;backup AS OF time&gt;'</t>
        </is>
      </c>
      <c r="E30" s="3" t="inlineStr">
        <is>
          <t>n and chk equal</t>
        </is>
      </c>
      <c r="F30" s="2" t="inlineStr">
        <is>
          <t>Medium</t>
        </is>
      </c>
    </row>
    <row r="31">
      <c r="A31" s="2" t="inlineStr">
        <is>
          <t>V-30</t>
        </is>
      </c>
      <c r="B31" s="2" t="inlineStr">
        <is>
          <t>Row count + checksum</t>
        </is>
      </c>
      <c r="C31" s="3" t="inlineStr">
        <is>
          <t>password_reset_token: count and id checksum equal to source at the backup time</t>
        </is>
      </c>
      <c r="D31" s="3" t="inlineStr">
        <is>
          <t>SELECT count(*) AS n, sum(crc32c(id::STRING)) AS chk FROM password_reset_token;   -- source: add AS OF SYSTEM TIME '&lt;backup AS OF time&gt;'</t>
        </is>
      </c>
      <c r="E31" s="3" t="inlineStr">
        <is>
          <t>n and chk equal</t>
        </is>
      </c>
      <c r="F31" s="2" t="inlineStr">
        <is>
          <t>Medium</t>
        </is>
      </c>
    </row>
    <row r="32">
      <c r="A32" s="2" t="inlineStr">
        <is>
          <t>V-31</t>
        </is>
      </c>
      <c r="B32" s="2" t="inlineStr">
        <is>
          <t>Row count + checksum</t>
        </is>
      </c>
      <c r="C32" s="3" t="inlineStr">
        <is>
          <t>email_verification_token: count and id checksum equal to source at the backup time</t>
        </is>
      </c>
      <c r="D32" s="3" t="inlineStr">
        <is>
          <t>SELECT count(*) AS n, sum(crc32c(id::STRING)) AS chk FROM email_verification_token;   -- source: add AS OF SYSTEM TIME '&lt;backup AS OF time&gt;'</t>
        </is>
      </c>
      <c r="E32" s="3" t="inlineStr">
        <is>
          <t>n and chk equal</t>
        </is>
      </c>
      <c r="F32" s="2" t="inlineStr">
        <is>
          <t>Medium</t>
        </is>
      </c>
    </row>
    <row r="33">
      <c r="A33" s="2" t="inlineStr">
        <is>
          <t>V-32</t>
        </is>
      </c>
      <c r="B33" s="2" t="inlineStr">
        <is>
          <t>Row count + checksum</t>
        </is>
      </c>
      <c r="C33" s="3" t="inlineStr">
        <is>
          <t>identity_session: count and id checksum equal to source at the backup time</t>
        </is>
      </c>
      <c r="D33" s="3" t="inlineStr">
        <is>
          <t>SELECT count(*) AS n, sum(crc32c(id::STRING)) AS chk FROM identity_session;   -- source: add AS OF SYSTEM TIME '&lt;backup AS OF time&gt;'</t>
        </is>
      </c>
      <c r="E33" s="3" t="inlineStr">
        <is>
          <t>n and chk equal</t>
        </is>
      </c>
      <c r="F33" s="2" t="inlineStr">
        <is>
          <t>Medium</t>
        </is>
      </c>
    </row>
    <row r="34">
      <c r="A34" s="2" t="inlineStr">
        <is>
          <t>V-33</t>
        </is>
      </c>
      <c r="B34" s="2" t="inlineStr">
        <is>
          <t>Row count + checksum</t>
        </is>
      </c>
      <c r="C34" s="3" t="inlineStr">
        <is>
          <t>duplicate_candidate_match: count and id checksum equal to source at the backup time</t>
        </is>
      </c>
      <c r="D34" s="3" t="inlineStr">
        <is>
          <t>SELECT count(*) AS n, sum(crc32c(id::STRING)) AS chk FROM duplicate_candidate_match;   -- source: add AS OF SYSTEM TIME '&lt;backup AS OF time&gt;'</t>
        </is>
      </c>
      <c r="E34" s="3" t="inlineStr">
        <is>
          <t>n and chk equal</t>
        </is>
      </c>
      <c r="F34" s="2" t="inlineStr">
        <is>
          <t>Medium</t>
        </is>
      </c>
    </row>
    <row r="35">
      <c r="A35" s="2" t="inlineStr">
        <is>
          <t>V-34</t>
        </is>
      </c>
      <c r="B35" s="2" t="inlineStr">
        <is>
          <t>Row count + checksum</t>
        </is>
      </c>
      <c r="C35" s="3" t="inlineStr">
        <is>
          <t>error_log: count and id checksum equal to source at the backup time</t>
        </is>
      </c>
      <c r="D35" s="3" t="inlineStr">
        <is>
          <t>SELECT count(*) AS n, sum(crc32c(id::STRING)) AS chk FROM error_log;   -- source: add AS OF SYSTEM TIME '&lt;backup AS OF time&gt;'</t>
        </is>
      </c>
      <c r="E35" s="3" t="inlineStr">
        <is>
          <t>n and chk equal</t>
        </is>
      </c>
      <c r="F35" s="2" t="inlineStr">
        <is>
          <t>Medium</t>
        </is>
      </c>
    </row>
    <row r="36">
      <c r="A36" s="2" t="inlineStr">
        <is>
          <t>V-35</t>
        </is>
      </c>
      <c r="B36" s="2" t="inlineStr">
        <is>
          <t>Row count + checksum</t>
        </is>
      </c>
      <c r="C36" s="3" t="inlineStr">
        <is>
          <t>security_event: count and id checksum equal to source at the backup time</t>
        </is>
      </c>
      <c r="D36" s="3" t="inlineStr">
        <is>
          <t>SELECT count(*) AS n, sum(crc32c(id::STRING)) AS chk FROM security_event;   -- source: add AS OF SYSTEM TIME '&lt;backup AS OF time&gt;'</t>
        </is>
      </c>
      <c r="E36" s="3" t="inlineStr">
        <is>
          <t>n and chk equal</t>
        </is>
      </c>
      <c r="F36" s="2" t="inlineStr">
        <is>
          <t>Medium</t>
        </is>
      </c>
    </row>
    <row r="37">
      <c r="A37" s="2" t="inlineStr">
        <is>
          <t>V-36</t>
        </is>
      </c>
      <c r="B37" s="2" t="inlineStr">
        <is>
          <t>Row count + checksum</t>
        </is>
      </c>
      <c r="C37" s="3" t="inlineStr">
        <is>
          <t>dim_candidate: count and id checksum equal to source at the backup time</t>
        </is>
      </c>
      <c r="D37" s="3" t="inlineStr">
        <is>
          <t>SELECT count(*) AS n, sum(crc32c(id::STRING)) AS chk FROM dim_candidate;   -- source: add AS OF SYSTEM TIME '&lt;backup AS OF time&gt;'</t>
        </is>
      </c>
      <c r="E37" s="3" t="inlineStr">
        <is>
          <t>n and chk equal</t>
        </is>
      </c>
      <c r="F37" s="2" t="inlineStr">
        <is>
          <t>Medium</t>
        </is>
      </c>
    </row>
    <row r="38">
      <c r="A38" s="2" t="inlineStr">
        <is>
          <t>V-37</t>
        </is>
      </c>
      <c r="B38" s="2" t="inlineStr">
        <is>
          <t>Row count + checksum</t>
        </is>
      </c>
      <c r="C38" s="3" t="inlineStr">
        <is>
          <t>dim_user: count and id checksum equal to source at the backup time</t>
        </is>
      </c>
      <c r="D38" s="3" t="inlineStr">
        <is>
          <t>SELECT count(*) AS n, sum(crc32c(id::STRING)) AS chk FROM dim_user;   -- source: add AS OF SYSTEM TIME '&lt;backup AS OF time&gt;'</t>
        </is>
      </c>
      <c r="E38" s="3" t="inlineStr">
        <is>
          <t>n and chk equal</t>
        </is>
      </c>
      <c r="F38" s="2" t="inlineStr">
        <is>
          <t>Medium</t>
        </is>
      </c>
    </row>
    <row r="39">
      <c r="A39" s="2" t="inlineStr">
        <is>
          <t>V-38</t>
        </is>
      </c>
      <c r="B39" s="2" t="inlineStr">
        <is>
          <t>Row count + checksum</t>
        </is>
      </c>
      <c r="C39" s="3" t="inlineStr">
        <is>
          <t>dim_job_requirement: count and id checksum equal to source at the backup time</t>
        </is>
      </c>
      <c r="D39" s="3" t="inlineStr">
        <is>
          <t>SELECT count(*) AS n, sum(crc32c(id::STRING)) AS chk FROM dim_job_requirement;   -- source: add AS OF SYSTEM TIME '&lt;backup AS OF time&gt;'</t>
        </is>
      </c>
      <c r="E39" s="3" t="inlineStr">
        <is>
          <t>n and chk equal</t>
        </is>
      </c>
      <c r="F39" s="2" t="inlineStr">
        <is>
          <t>Medium</t>
        </is>
      </c>
    </row>
    <row r="40">
      <c r="A40" s="2" t="inlineStr">
        <is>
          <t>V-39</t>
        </is>
      </c>
      <c r="B40" s="2" t="inlineStr">
        <is>
          <t>Row count + checksum</t>
        </is>
      </c>
      <c r="C40" s="3" t="inlineStr">
        <is>
          <t>bridge_candidate_skill: count and id checksum equal to source at the backup time</t>
        </is>
      </c>
      <c r="D40" s="3" t="inlineStr">
        <is>
          <t>SELECT count(*) AS n, sum(crc32c(id::STRING)) AS chk FROM bridge_candidate_skill;   -- source: add AS OF SYSTEM TIME '&lt;backup AS OF time&gt;'</t>
        </is>
      </c>
      <c r="E40" s="3" t="inlineStr">
        <is>
          <t>n and chk equal</t>
        </is>
      </c>
      <c r="F40" s="2" t="inlineStr">
        <is>
          <t>Medium</t>
        </is>
      </c>
    </row>
    <row r="41">
      <c r="A41" s="2" t="inlineStr">
        <is>
          <t>V-40</t>
        </is>
      </c>
      <c r="B41" s="2" t="inlineStr">
        <is>
          <t>Row count + checksum</t>
        </is>
      </c>
      <c r="C41" s="3" t="inlineStr">
        <is>
          <t>fact_application_event: count and id checksum equal to source at the backup time</t>
        </is>
      </c>
      <c r="D41" s="3" t="inlineStr">
        <is>
          <t>SELECT count(*) AS n, sum(crc32c(id::STRING)) AS chk FROM fact_application_event;   -- source: add AS OF SYSTEM TIME '&lt;backup AS OF time&gt;'</t>
        </is>
      </c>
      <c r="E41" s="3" t="inlineStr">
        <is>
          <t>n and chk equal</t>
        </is>
      </c>
      <c r="F41" s="2" t="inlineStr">
        <is>
          <t>Medium</t>
        </is>
      </c>
    </row>
    <row r="42">
      <c r="A42" s="2" t="inlineStr">
        <is>
          <t>V-41</t>
        </is>
      </c>
      <c r="B42" s="2" t="inlineStr">
        <is>
          <t>Row count + checksum</t>
        </is>
      </c>
      <c r="C42" s="3" t="inlineStr">
        <is>
          <t>fact_application_pipeline: count and id checksum equal to source at the backup time</t>
        </is>
      </c>
      <c r="D42" s="3" t="inlineStr">
        <is>
          <t>SELECT count(*) AS n, sum(crc32c(id::STRING)) AS chk FROM fact_application_pipeline;   -- source: add AS OF SYSTEM TIME '&lt;backup AS OF time&gt;'</t>
        </is>
      </c>
      <c r="E42" s="3" t="inlineStr">
        <is>
          <t>n and chk equal</t>
        </is>
      </c>
      <c r="F42" s="2" t="inlineStr">
        <is>
          <t>Medium</t>
        </is>
      </c>
    </row>
    <row r="43">
      <c r="A43" s="2" t="inlineStr">
        <is>
          <t>V-42</t>
        </is>
      </c>
      <c r="B43" s="2" t="inlineStr">
        <is>
          <t>Row count + checksum</t>
        </is>
      </c>
      <c r="C43" s="3" t="inlineStr">
        <is>
          <t>fact_job_posting_daily: count and id checksum equal to source at the backup time</t>
        </is>
      </c>
      <c r="D43" s="3" t="inlineStr">
        <is>
          <t>SELECT count(*) AS n, sum(crc32c(id::STRING)) AS chk FROM fact_job_posting_daily;   -- source: add AS OF SYSTEM TIME '&lt;backup AS OF time&gt;'</t>
        </is>
      </c>
      <c r="E43" s="3" t="inlineStr">
        <is>
          <t>n and chk equal</t>
        </is>
      </c>
      <c r="F43" s="2" t="inlineStr">
        <is>
          <t>Medium</t>
        </is>
      </c>
    </row>
    <row r="44">
      <c r="A44" s="2" t="inlineStr">
        <is>
          <t>V-43</t>
        </is>
      </c>
      <c r="B44" s="2" t="inlineStr">
        <is>
          <t>Row count + checksum</t>
        </is>
      </c>
      <c r="C44" s="3" t="inlineStr">
        <is>
          <t>fact_gig_request_daily: count and id checksum equal to source at the backup time</t>
        </is>
      </c>
      <c r="D44" s="3" t="inlineStr">
        <is>
          <t>SELECT count(*) AS n, sum(crc32c(id::STRING)) AS chk FROM fact_gig_request_daily;   -- source: add AS OF SYSTEM TIME '&lt;backup AS OF time&gt;'</t>
        </is>
      </c>
      <c r="E44" s="3" t="inlineStr">
        <is>
          <t>n and chk equal</t>
        </is>
      </c>
      <c r="F44" s="2" t="inlineStr">
        <is>
          <t>Medium</t>
        </is>
      </c>
    </row>
    <row r="45">
      <c r="A45" s="2" t="inlineStr">
        <is>
          <t>V-44</t>
        </is>
      </c>
      <c r="B45" s="2" t="inlineStr">
        <is>
          <t>Row count + checksum</t>
        </is>
      </c>
      <c r="C45" s="3" t="inlineStr">
        <is>
          <t>fact_profile_view: count and id checksum equal to source at the backup time</t>
        </is>
      </c>
      <c r="D45" s="3" t="inlineStr">
        <is>
          <t>SELECT count(*) AS n, sum(crc32c(id::STRING)) AS chk FROM fact_profile_view;   -- source: add AS OF SYSTEM TIME '&lt;backup AS OF time&gt;'</t>
        </is>
      </c>
      <c r="E45" s="3" t="inlineStr">
        <is>
          <t>n and chk equal</t>
        </is>
      </c>
      <c r="F45" s="2" t="inlineStr">
        <is>
          <t>Medium</t>
        </is>
      </c>
    </row>
    <row r="46">
      <c r="A46" s="2" t="inlineStr">
        <is>
          <t>V-45</t>
        </is>
      </c>
      <c r="B46" s="2" t="inlineStr">
        <is>
          <t>Row count + checksum</t>
        </is>
      </c>
      <c r="C46" s="3" t="inlineStr">
        <is>
          <t>fact_profile_download: count and id checksum equal to source at the backup time</t>
        </is>
      </c>
      <c r="D46" s="3" t="inlineStr">
        <is>
          <t>SELECT count(*) AS n, sum(crc32c(id::STRING)) AS chk FROM fact_profile_download;   -- source: add AS OF SYSTEM TIME '&lt;backup AS OF time&gt;'</t>
        </is>
      </c>
      <c r="E46" s="3" t="inlineStr">
        <is>
          <t>n and chk equal</t>
        </is>
      </c>
      <c r="F46" s="2" t="inlineStr">
        <is>
          <t>Medium</t>
        </is>
      </c>
    </row>
    <row r="47">
      <c r="A47" s="2" t="inlineStr">
        <is>
          <t>V-46</t>
        </is>
      </c>
      <c r="B47" s="2" t="inlineStr">
        <is>
          <t>Row count + checksum</t>
        </is>
      </c>
      <c r="C47" s="3" t="inlineStr">
        <is>
          <t>fact_search_event: count and id checksum equal to source at the backup time</t>
        </is>
      </c>
      <c r="D47" s="3" t="inlineStr">
        <is>
          <t>SELECT count(*) AS n, sum(crc32c(id::STRING)) AS chk FROM fact_search_event;   -- source: add AS OF SYSTEM TIME '&lt;backup AS OF time&gt;'</t>
        </is>
      </c>
      <c r="E47" s="3" t="inlineStr">
        <is>
          <t>n and chk equal</t>
        </is>
      </c>
      <c r="F47" s="2" t="inlineStr">
        <is>
          <t>Medium</t>
        </is>
      </c>
    </row>
    <row r="48">
      <c r="A48" s="2" t="inlineStr">
        <is>
          <t>V-47</t>
        </is>
      </c>
      <c r="B48" s="2" t="inlineStr">
        <is>
          <t>Row count + checksum</t>
        </is>
      </c>
      <c r="C48" s="3" t="inlineStr">
        <is>
          <t>fact_notification_delivery: count and id checksum equal to source at the backup time</t>
        </is>
      </c>
      <c r="D48" s="3" t="inlineStr">
        <is>
          <t>SELECT count(*) AS n, sum(crc32c(id::STRING)) AS chk FROM fact_notification_delivery;   -- source: add AS OF SYSTEM TIME '&lt;backup AS OF time&gt;'</t>
        </is>
      </c>
      <c r="E48" s="3" t="inlineStr">
        <is>
          <t>n and chk equal</t>
        </is>
      </c>
      <c r="F48" s="2" t="inlineStr">
        <is>
          <t>Medium</t>
        </is>
      </c>
    </row>
    <row r="49">
      <c r="A49" s="2" t="inlineStr">
        <is>
          <t>V-48</t>
        </is>
      </c>
      <c r="B49" s="2" t="inlineStr">
        <is>
          <t>Row count + checksum</t>
        </is>
      </c>
      <c r="C49" s="3" t="inlineStr">
        <is>
          <t>fact_wallet_transaction: count and id checksum equal to source at the backup time</t>
        </is>
      </c>
      <c r="D49" s="3" t="inlineStr">
        <is>
          <t>SELECT count(*) AS n, sum(crc32c(id::STRING)) AS chk FROM fact_wallet_transaction;   -- source: add AS OF SYSTEM TIME '&lt;backup AS OF time&gt;'</t>
        </is>
      </c>
      <c r="E49" s="3" t="inlineStr">
        <is>
          <t>n and chk equal</t>
        </is>
      </c>
      <c r="F49" s="2" t="inlineStr">
        <is>
          <t>Medium</t>
        </is>
      </c>
    </row>
    <row r="50">
      <c r="A50" s="2" t="inlineStr">
        <is>
          <t>V-49</t>
        </is>
      </c>
      <c r="B50" s="2" t="inlineStr">
        <is>
          <t>Row count</t>
        </is>
      </c>
      <c r="C50" s="3" t="inlineStr">
        <is>
          <t>Lookup tables: total rows over all lookups</t>
        </is>
      </c>
      <c r="D50" s="3" t="inlineStr">
        <is>
          <t>SELECT sum(n) FROM (SELECT count(*) AS n FROM actor_type UNION ALL SELECT count(*) AS n FROM user_status UNION ALL SELECT count(*) AS n FROM erasure_state UNION ALL SELECT count(*) AS n FROM registration_channel UNION ALL SELECT count(*) AS n FROM consent_source UNION ALL SELECT count(*) AS n FROM consent_action UNION ALL SELECT count(*) AS n FROM consent_type UNION ALL SELECT count(*) AS n FROM audit_action UNION ALL SELECT count(*) AS n FROM audit_entity_type UNION ALL SELECT count(*) AS n FROM audit_outcome UNION ALL SELECT count(*) AS n FROM enforcement_layer UNION ALL SELECT count(*) AS n FROM permission_operation UNION ALL SELECT count(*) AS n FROM data_scope UNION ALL SELECT count(*) AS n FROM hash_algorithm UNION ALL SELECT count(*) AS n FROM credential_change_reason UNION ALL SELECT count(*) AS n FROM credential_event_type UNION ALL SELECT count(*) AS n FROM mfa_method UNION ALL SELECT count(*) AS n FROM email_verification_purpose UNION ALL SELECT count(*) AS n FROM auth_method UNION ALL SELECT count(*) AS n FROM session_revoke_reason UNION ALL SELECT count(*) AS n FROM block_direction UNION ALL SELECT count(*) AS n FROM event_severity UNION ALL SELECT count(*) AS n FROM error_code UNION ALL SELECT count(*) AS n FROM approval_status UNION ALL SELECT count(*) AS n FROM duplicate_match_rule UNION ALL SELECT count(*) AS n FROM duplicate_match_status UNION ALL SELECT count(*) AS n FROM dsr_type UNION ALL SELECT count(*) AS n FROM dsr_status UNION ALL SELECT count(*) AS n FROM request_channel UNION ALL SELECT count(*) AS n FROM retention_action UNION ALL SELECT count(*) AS n FROM retention_trigger UNION ALL SELECT count(*) AS n FROM job_run_status UNION ALL SELECT count(*) AS n FROM ip_rule_kind UNION ALL SELECT count(*) AS n FROM api_client_kind UNION ALL SELECT count(*) AS n FROM impersonation_reason UNION ALL SELECT count(*) AS n FROM moderation_target_type UNION ALL SELECT count(*) AS n FROM moderation_reason UNION ALL SELECT count(*) AS n FROM moderation_case_status UNION ALL SELECT count(*) AS n FROM moderation_action UNION ALL SELECT count(*) AS n FROM security_event_type UNION ALL SELECT count(*) AS n FROM legacy_entity_kind UNION ALL SELECT count(*) AS n FROM legacy_conflict_outcome) s;</t>
        </is>
      </c>
      <c r="E50" s="3">
        <f> source (extend to all 536 lookups with a generated script)</f>
        <v/>
      </c>
      <c r="F50" s="2" t="inlineStr">
        <is>
          <t>Low</t>
        </is>
      </c>
    </row>
    <row r="51">
      <c r="A51" s="2" t="inlineStr">
        <is>
          <t>V-50</t>
        </is>
      </c>
      <c r="B51" s="2" t="inlineStr">
        <is>
          <t>Integrity</t>
        </is>
      </c>
      <c r="C51" s="3" t="inlineStr">
        <is>
          <t>Wallet balances equal ledger</t>
        </is>
      </c>
      <c r="D51" s="3" t="inlineStr">
        <is>
          <t>SELECT * FROM vw_wallet_balance_drift LIMIT 10;</t>
        </is>
      </c>
      <c r="E51" s="3" t="inlineStr">
        <is>
          <t>0 rows (BR-SUB-08)</t>
        </is>
      </c>
      <c r="F51" s="2" t="inlineStr">
        <is>
          <t>High</t>
        </is>
      </c>
    </row>
    <row r="52">
      <c r="A52" s="2" t="inlineStr">
        <is>
          <t>V-51</t>
        </is>
      </c>
      <c r="B52" s="2" t="inlineStr">
        <is>
          <t>Integrity</t>
        </is>
      </c>
      <c r="C52" s="3" t="inlineStr">
        <is>
          <t>Subscription periods do not overlap</t>
        </is>
      </c>
      <c r="D52" s="3" t="inlineStr">
        <is>
          <t>SELECT * FROM vw_subscription_period_overlap LIMIT 10;</t>
        </is>
      </c>
      <c r="E52" s="3" t="inlineStr">
        <is>
          <t>0 rows (BR-SUB-03)</t>
        </is>
      </c>
      <c r="F52" s="2" t="inlineStr">
        <is>
          <t>High</t>
        </is>
      </c>
    </row>
    <row r="53">
      <c r="A53" s="2" t="inlineStr">
        <is>
          <t>V-52</t>
        </is>
      </c>
      <c r="B53" s="2" t="inlineStr">
        <is>
          <t>Integrity</t>
        </is>
      </c>
      <c r="C53" s="3" t="inlineStr">
        <is>
          <t>Invoice numbers gapless</t>
        </is>
      </c>
      <c r="D53" s="3" t="inlineStr">
        <is>
          <t>SELECT * FROM vw_invoice_number_gap LIMIT 10;</t>
        </is>
      </c>
      <c r="E53" s="3" t="inlineStr">
        <is>
          <t>0 rows (BR-SUB-12)</t>
        </is>
      </c>
      <c r="F53" s="2" t="inlineStr">
        <is>
          <t>High</t>
        </is>
      </c>
    </row>
    <row r="54">
      <c r="A54" s="2" t="inlineStr">
        <is>
          <t>V-53</t>
        </is>
      </c>
      <c r="B54" s="2" t="inlineStr">
        <is>
          <t>Integrity</t>
        </is>
      </c>
      <c r="C54" s="3" t="inlineStr">
        <is>
          <t>Audit hash chains verify</t>
        </is>
      </c>
      <c r="D54" s="3" t="inlineStr">
        <is>
          <t>-- run the chain verifier job: for each chain_no recompute row_hash = SHA-256(fields || prev_hash) and compare; compare newest chain_seq per chain_no with audit_chain_head</t>
        </is>
      </c>
      <c r="E54" s="3" t="inlineStr">
        <is>
          <t>no mismatch; zero security_event(audit_chain_break) created (BR-ADM-09)</t>
        </is>
      </c>
      <c r="F54" s="2" t="inlineStr">
        <is>
          <t>High</t>
        </is>
      </c>
    </row>
    <row r="55">
      <c r="A55" s="2" t="inlineStr">
        <is>
          <t>V-54</t>
        </is>
      </c>
      <c r="B55" s="2" t="inlineStr">
        <is>
          <t>Integrity</t>
        </is>
      </c>
      <c r="C55" s="3" t="inlineStr">
        <is>
          <t>Wallet ledger chain verifies</t>
        </is>
      </c>
      <c r="D55" s="3" t="inlineStr">
        <is>
          <t>-- nightly verifier for wallet_ledger_entry (row_hash chain per wallet) restricted to wallets touched in the last 24 h plus a 1% random sample</t>
        </is>
      </c>
      <c r="E55" s="3" t="inlineStr">
        <is>
          <t>no mismatch (BR-SUB-10)</t>
        </is>
      </c>
      <c r="F55" s="2" t="inlineStr">
        <is>
          <t>High</t>
        </is>
      </c>
    </row>
    <row r="56">
      <c r="A56" s="2" t="inlineStr">
        <is>
          <t>V-55</t>
        </is>
      </c>
      <c r="B56" s="2" t="inlineStr">
        <is>
          <t>Integrity</t>
        </is>
      </c>
      <c r="C56" s="3" t="inlineStr">
        <is>
          <t>One live subscription per licence</t>
        </is>
      </c>
      <c r="D56" s="3" t="inlineStr">
        <is>
          <t>SELECT licence_id, count(*) FROM subscription WHERE ended_at IS NULL AND deleted_at IS NULL GROUP BY 1 HAVING count(*) &gt; 1;</t>
        </is>
      </c>
      <c r="E56" s="3" t="inlineStr">
        <is>
          <t>0 rows (BR-SUB-01)</t>
        </is>
      </c>
      <c r="F56" s="2" t="inlineStr">
        <is>
          <t>Medium</t>
        </is>
      </c>
    </row>
    <row r="57">
      <c r="A57" s="2" t="inlineStr">
        <is>
          <t>V-56</t>
        </is>
      </c>
      <c r="B57" s="2" t="inlineStr">
        <is>
          <t>Integrity</t>
        </is>
      </c>
      <c r="C57" s="3" t="inlineStr">
        <is>
          <t>Seat/device limits hold</t>
        </is>
      </c>
      <c r="D57" s="3" t="inlineStr">
        <is>
          <t>SELECT device_slot_id, count(*) FROM device_session WHERE ended_at IS NULL GROUP BY 1 HAVING count(*) &gt; 1;</t>
        </is>
      </c>
      <c r="E57" s="3" t="inlineStr">
        <is>
          <t>0 rows (BR-LIC-05)</t>
        </is>
      </c>
      <c r="F57" s="2" t="inlineStr">
        <is>
          <t>High</t>
        </is>
      </c>
    </row>
    <row r="58">
      <c r="A58" s="2" t="inlineStr">
        <is>
          <t>V-57</t>
        </is>
      </c>
      <c r="B58" s="2" t="inlineStr">
        <is>
          <t>Integrity</t>
        </is>
      </c>
      <c r="C58" s="3" t="inlineStr">
        <is>
          <t>Open recruiter mappings unique</t>
        </is>
      </c>
      <c r="D58" s="3" t="inlineStr">
        <is>
          <t>SELECT recruiter_app_user_id, organisation_id, count(*) FROM recruiter_organisation_mapping WHERE effective_to IS NULL GROUP BY 1, 2 HAVING count(*) &gt; 1;</t>
        </is>
      </c>
      <c r="E58" s="3" t="inlineStr">
        <is>
          <t>0 rows (BR-ORG-01)</t>
        </is>
      </c>
      <c r="F58" s="2" t="inlineStr">
        <is>
          <t>Medium</t>
        </is>
      </c>
    </row>
    <row r="59">
      <c r="A59" s="2" t="inlineStr">
        <is>
          <t>V-58</t>
        </is>
      </c>
      <c r="B59" s="2" t="inlineStr">
        <is>
          <t>Integrity</t>
        </is>
      </c>
      <c r="C59" s="3" t="inlineStr">
        <is>
          <t>Orphan check for deliberately FK-less references</t>
        </is>
      </c>
      <c r="D59" s="3" t="inlineStr">
        <is>
          <t>SELECT count(*) FROM audit_event a LEFT JOIN app_user u ON u.id = a.actor_app_user_id WHERE a.actor_app_user_id IS NOT NULL AND u.id IS NULL;</t>
        </is>
      </c>
      <c r="E59" s="3" t="inlineStr">
        <is>
          <t>0 (or equal to source)</t>
        </is>
      </c>
      <c r="F59" s="2" t="inlineStr">
        <is>
          <t>Medium</t>
        </is>
      </c>
    </row>
    <row r="60">
      <c r="A60" s="2" t="inlineStr">
        <is>
          <t>V-59</t>
        </is>
      </c>
      <c r="B60" s="2" t="inlineStr">
        <is>
          <t>Integrity</t>
        </is>
      </c>
      <c r="C60" s="3" t="inlineStr">
        <is>
          <t>Blocked-party visibility still holds after restore</t>
        </is>
      </c>
      <c r="D60" s="3" t="inlineStr">
        <is>
          <t>SELECT count(*) FROM vw_candidate_visible_to_user WHERE viewer_app_user_id = '&lt;blocked viewer&gt;' AND candidate_app_user_id = '&lt;blocker&gt;';</t>
        </is>
      </c>
      <c r="E60" s="3" t="inlineStr">
        <is>
          <t>0 (AT-05)</t>
        </is>
      </c>
      <c r="F60" s="2" t="inlineStr">
        <is>
          <t>High</t>
        </is>
      </c>
    </row>
    <row r="61">
      <c r="A61" s="2" t="inlineStr">
        <is>
          <t>V-60</t>
        </is>
      </c>
      <c r="B61" s="2" t="inlineStr">
        <is>
          <t>Privacy</t>
        </is>
      </c>
      <c r="C61" s="3" t="inlineStr">
        <is>
          <t>Erased subjects are still erased</t>
        </is>
      </c>
      <c r="D61" s="3" t="inlineStr">
        <is>
          <t>SELECT count(*) FROM candidate_profile WHERE anonymised_at IS NOT NULL AND (contact_email IS NOT NULL OR contact_phone IS NOT NULL);</t>
        </is>
      </c>
      <c r="E61" s="3" t="inlineStr">
        <is>
          <t>0; if &gt; 0 re-run the erasure job from candidate_erasure_request (backups may predate erasure)</t>
        </is>
      </c>
      <c r="F61" s="2" t="inlineStr">
        <is>
          <t>High</t>
        </is>
      </c>
    </row>
    <row r="62">
      <c r="A62" s="2" t="inlineStr">
        <is>
          <t>V-61</t>
        </is>
      </c>
      <c r="B62" s="2" t="inlineStr">
        <is>
          <t>Privacy</t>
        </is>
      </c>
      <c r="C62" s="3" t="inlineStr">
        <is>
          <t>Legal holds preserved</t>
        </is>
      </c>
      <c r="D62" s="3" t="inlineStr">
        <is>
          <t>SELECT count(*) FROM legal_hold WHERE released_at IS NULL;</t>
        </is>
      </c>
      <c r="E62" s="3">
        <f> source</f>
        <v/>
      </c>
      <c r="F62" s="2" t="inlineStr">
        <is>
          <t>Medium</t>
        </is>
      </c>
    </row>
    <row r="63">
      <c r="A63" s="2" t="inlineStr">
        <is>
          <t>V-62</t>
        </is>
      </c>
      <c r="B63" s="2" t="inlineStr">
        <is>
          <t>Time</t>
        </is>
      </c>
      <c r="C63" s="3" t="inlineStr">
        <is>
          <t>Timestamps in range (no clock-skew artefacts)</t>
        </is>
      </c>
      <c r="D63" s="3" t="inlineStr">
        <is>
          <t>SELECT max(created_at) FROM audit_event;  SELECT max(created_at) FROM wallet_ledger_entry;</t>
        </is>
      </c>
      <c r="E63" s="3" t="inlineStr">
        <is>
          <t>&lt;= backup AS OF time</t>
        </is>
      </c>
      <c r="F63" s="2" t="inlineStr">
        <is>
          <t>Medium</t>
        </is>
      </c>
    </row>
    <row r="64">
      <c r="A64" s="2" t="inlineStr">
        <is>
          <t>V-63</t>
        </is>
      </c>
      <c r="B64" s="2" t="inlineStr">
        <is>
          <t>Function</t>
        </is>
      </c>
      <c r="C64" s="3" t="inlineStr">
        <is>
          <t>Application smoke</t>
        </is>
      </c>
      <c r="D64" s="3" t="inlineStr">
        <is>
          <t>Run the three standard B65 queries and one wallet debit in a rolled-back txn</t>
        </is>
      </c>
      <c r="E64" s="3" t="inlineStr">
        <is>
          <t>same result shape and counts as source; debit succeeds</t>
        </is>
      </c>
      <c r="F64" s="2" t="inlineStr">
        <is>
          <t>High</t>
        </is>
      </c>
    </row>
  </sheetData>
  <autoFilter ref="A1:F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2026-10-15T19:42:49Z</dcterms:created>
  <dcterms:modified xmlns:dcterms="http://purl.org/dc/terms/" xmlns:xsi="http://www.w3.org/2001/XMLSchema-instance" xsi:type="dcterms:W3CDTF">2026-10-15T19:42:50Z</dcterms:modified>
</cp:coreProperties>
</file>